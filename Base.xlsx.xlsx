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https://d.docs.live.net/c11786601a6d3946/Desktop/Dashboard-de-vendas-Excel---Curso/"/>
    </mc:Choice>
  </mc:AlternateContent>
  <xr:revisionPtr revIDLastSave="20" documentId="13_ncr:1_{8A558CCE-68EB-4CD8-B400-D2E3B1B06940}" xr6:coauthVersionLast="47" xr6:coauthVersionMax="47" xr10:uidLastSave="{3888CF19-53C8-4F51-B0EF-690507E342C9}"/>
  <bookViews>
    <workbookView xWindow="-120" yWindow="-120" windowWidth="20730" windowHeight="11040" activeTab="3" xr2:uid="{28DD5B76-0634-4F87-BE60-8BFA7EF2E23B}"/>
  </bookViews>
  <sheets>
    <sheet name="A̳ssets" sheetId="1" r:id="rId1"/>
    <sheet name="Bases" sheetId="2" r:id="rId2"/>
    <sheet name="C̳álculos" sheetId="3" r:id="rId3"/>
    <sheet name="Dashboard" sheetId="6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9" i="3" l="1"/>
  <c r="C26" i="3"/>
</calcChain>
</file>

<file path=xl/sharedStrings.xml><?xml version="1.0" encoding="utf-8"?>
<sst xmlns="http://schemas.openxmlformats.org/spreadsheetml/2006/main" count="2020" uniqueCount="321">
  <si>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</si>
  <si>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</si>
  <si>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</si>
  <si>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</si>
  <si>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</si>
  <si>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</si>
  <si>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</si>
  <si>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</si>
  <si>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</si>
  <si>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</si>
  <si>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</si>
  <si>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</si>
  <si>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</si>
  <si>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</si>
  <si>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</si>
  <si>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</si>
  <si>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</si>
  <si>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</si>
  <si>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</si>
  <si>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</si>
  <si>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</si>
  <si>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</si>
  <si>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</si>
  <si>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</si>
  <si>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</si>
  <si>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</si>
  <si>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</si>
  <si>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</si>
  <si>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</si>
  <si>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</si>
  <si>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</si>
  <si>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</si>
  <si>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</si>
  <si>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</si>
  <si>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</si>
  <si>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</si>
  <si>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</si>
  <si>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</si>
  <si>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</si>
  <si>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</si>
  <si>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</si>
  <si>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</si>
  <si>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</si>
  <si>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</si>
  <si>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</si>
  <si>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</si>
  <si>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</si>
  <si>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</si>
  <si>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</si>
  <si>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</si>
  <si>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</si>
  <si>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</si>
  <si>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</si>
  <si>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</si>
  <si>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</si>
  <si>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</si>
  <si>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</si>
  <si>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</si>
  <si>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</si>
  <si>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</si>
  <si>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</si>
  <si>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</si>
  <si>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</si>
  <si>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</si>
  <si>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</si>
  <si>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</si>
  <si>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</si>
  <si>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</si>
  <si>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</si>
  <si>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</si>
  <si>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</si>
  <si>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</si>
  <si>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</si>
  <si>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</si>
  <si>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</si>
  <si>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</si>
  <si>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</si>
  <si>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</si>
  <si>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</si>
  <si>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</si>
  <si>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</si>
  <si>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</si>
  <si>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</si>
  <si>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</si>
  <si>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</si>
  <si>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</si>
  <si>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</si>
  <si>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</si>
  <si>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</si>
  <si>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</si>
  <si>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</si>
  <si>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</si>
  <si>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</si>
  <si>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</si>
  <si>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</si>
  <si>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</si>
  <si>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</si>
  <si>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</si>
  <si>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</si>
  <si>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</si>
  <si>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</si>
  <si>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</si>
  <si>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</si>
  <si>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</si>
  <si>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</si>
  <si>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</si>
  <si>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</si>
  <si>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</si>
  <si>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</si>
  <si>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</si>
  <si>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</si>
  <si>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</si>
  <si>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</si>
  <si>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</si>
  <si>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</si>
  <si>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</si>
  <si>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</si>
  <si>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</si>
  <si>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</si>
  <si>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</si>
  <si>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</si>
  <si>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</si>
  <si>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</si>
  <si>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</si>
  <si>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</si>
  <si>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</si>
  <si>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</si>
  <si>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</si>
  <si>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</si>
  <si>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</si>
  <si>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</si>
  <si>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</si>
  <si>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</si>
  <si>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</si>
  <si>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</si>
  <si>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</si>
  <si>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</si>
  <si>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</si>
  <si>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</si>
  <si>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</si>
  <si>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</si>
  <si>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</si>
  <si>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</si>
  <si>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</si>
  <si>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</si>
  <si>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</si>
  <si>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</si>
  <si>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</si>
  <si>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</si>
  <si>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</si>
  <si>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</si>
  <si>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</si>
  <si>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</si>
  <si>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</si>
  <si>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</si>
  <si>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</si>
  <si>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</si>
  <si>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</si>
  <si>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</si>
  <si>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</si>
  <si>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</si>
  <si>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</si>
  <si>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</si>
  <si>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</si>
  <si>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</si>
  <si>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</si>
  <si>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</si>
  <si>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</si>
  <si>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</si>
  <si>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</si>
  <si>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</si>
  <si>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</si>
  <si>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</si>
  <si>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</si>
  <si>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</si>
  <si>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</si>
  <si>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</si>
  <si>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</si>
  <si>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</si>
  <si>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</si>
  <si>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</si>
  <si>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</si>
  <si>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</si>
  <si>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</si>
  <si>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</si>
  <si>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</si>
  <si>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</si>
  <si>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</si>
  <si>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</si>
  <si>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</si>
  <si>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</si>
  <si>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</si>
  <si>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</si>
  <si>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</si>
  <si>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</si>
  <si>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</si>
  <si>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</si>
  <si>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</si>
  <si>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</si>
  <si>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</si>
  <si>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</si>
  <si>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</si>
  <si>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</si>
  <si>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</si>
  <si>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</si>
  <si>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</si>
  <si>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</si>
  <si>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</si>
  <si>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</si>
  <si>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</si>
  <si>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</si>
  <si>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</si>
  <si>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</si>
  <si>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</si>
  <si>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</si>
  <si>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</si>
  <si>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</si>
  <si>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</si>
  <si>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</si>
  <si>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</si>
  <si>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</si>
  <si>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</si>
  <si>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</si>
  <si>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</si>
  <si>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</si>
  <si>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</si>
  <si>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</si>
  <si>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</si>
  <si>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</si>
  <si>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</si>
  <si>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</si>
  <si>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</si>
  <si>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</si>
  <si>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</si>
  <si>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</si>
  <si>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</si>
  <si>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</si>
  <si>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</si>
  <si>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</si>
  <si>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</si>
  <si>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</si>
  <si>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</si>
  <si>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</si>
  <si>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</si>
  <si>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</si>
  <si>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</si>
  <si>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</si>
  <si>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</si>
  <si>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</si>
  <si>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</si>
  <si>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</si>
  <si>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</si>
  <si>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</si>
  <si>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</si>
  <si>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</si>
  <si>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</si>
  <si>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</si>
  <si>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</si>
  <si>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</si>
  <si>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</si>
  <si>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</si>
  <si>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</si>
  <si>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</si>
  <si>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</si>
  <si>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</si>
  <si>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</si>
  <si>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</si>
  <si>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</si>
  <si>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</si>
  <si>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</si>
  <si>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</si>
  <si>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</si>
  <si>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</si>
  <si>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</si>
  <si>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</si>
  <si>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</si>
  <si>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</si>
  <si>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</si>
  <si>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</si>
  <si>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</si>
  <si>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</si>
  <si>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</si>
  <si>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</si>
  <si>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</si>
  <si>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</si>
  <si>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</si>
  <si>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</si>
  <si>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</si>
  <si>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</si>
  <si>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</si>
  <si>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</si>
  <si>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</si>
  <si>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</si>
  <si>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</si>
  <si>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</si>
  <si>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</si>
  <si>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</si>
  <si>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</si>
  <si>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</si>
  <si>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</si>
  <si>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</si>
  <si>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</si>
  <si>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</si>
  <si>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</si>
  <si>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</si>
  <si>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</si>
  <si>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</si>
  <si>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</si>
  <si>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</si>
  <si>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</si>
  <si>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</si>
  <si>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</si>
  <si>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</si>
  <si>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Rótulos de Linha</t>
  </si>
  <si>
    <t>Total Geral</t>
  </si>
  <si>
    <t>Contagem de Subscriber ID</t>
  </si>
  <si>
    <t>Soma de Total Value</t>
  </si>
  <si>
    <t>Tabela 1 — Assinantes por plano</t>
  </si>
  <si>
    <t>Tabela 2 — Receita por plano</t>
  </si>
  <si>
    <t>Tabela 3 — Renovação automática</t>
  </si>
  <si>
    <t>Tabela 4 — Assinaturas por tipo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</si>
</sst>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8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8" borderId="0" xfId="0" applyFill="1"/>
    <xf numFmtId="44" fontId="0" fillId="0" borderId="0" xfId="0" applyNumberFormat="1"/>
    <xf numFmtId="44" fontId="0" fillId="0" borderId="0" xfId="2" applyFont="1"/>
    <xf numFmtId="9" fontId="0" fillId="0" borderId="0" xfId="3" applyFont="1"/>
  </cellXfs>
  <cellStyles count="4">
    <cellStyle name="Moeda" xfId="2" builtinId="4"/>
    <cellStyle name="Normal" xfId="0" builtinId="0"/>
    <cellStyle name="Porcentagem" xfId="3" builtinId="5"/>
    <cellStyle name="Título 1" xfId="1" builtinId="16"/>
  </cellStyles>
  <dxfs count="14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E0E0E0"/>
      <color rgb="FF171717"/>
      <color rgb="FFE8E6E9"/>
      <color rgb="FFD9D9D9"/>
      <color rgb="FF22C55E"/>
      <color rgb="FF242424"/>
      <color rgb="FF0B3D24"/>
      <color rgb="FFF7F8FC"/>
      <color rgb="FF156082"/>
      <color rgb="FF5BF6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133475" y="5172074"/>
          <a:ext cx="1778076" cy="7143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9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9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1</xdr:row>
      <xdr:rowOff>19050</xdr:rowOff>
    </xdr:from>
    <xdr:to>
      <xdr:col>12</xdr:col>
      <xdr:colOff>876300</xdr:colOff>
      <xdr:row>5</xdr:row>
      <xdr:rowOff>0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4AFDC177-74FA-409D-A7A8-755FB1034058}"/>
            </a:ext>
          </a:extLst>
        </xdr:cNvPr>
        <xdr:cNvSpPr/>
      </xdr:nvSpPr>
      <xdr:spPr>
        <a:xfrm>
          <a:off x="990599" y="200025"/>
          <a:ext cx="11430001" cy="742950"/>
        </a:xfrm>
        <a:prstGeom prst="roundRect">
          <a:avLst/>
        </a:prstGeom>
        <a:solidFill>
          <a:srgbClr val="0B3D24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2000">
              <a:latin typeface="Segoe UI" panose="020B0502040204020203" pitchFamily="34" charset="0"/>
              <a:cs typeface="Segoe UI" panose="020B0502040204020203" pitchFamily="34" charset="0"/>
            </a:rPr>
            <a:t>            XBOX GAME PASS | DASHBOARD</a:t>
          </a:r>
        </a:p>
        <a:p>
          <a:pPr algn="l"/>
          <a:r>
            <a:rPr lang="pt-BR" sz="1200">
              <a:solidFill>
                <a:srgbClr val="E0E0E0"/>
              </a:solidFill>
            </a:rPr>
            <a:t>                         </a:t>
          </a:r>
          <a:r>
            <a:rPr lang="pt-BR" sz="1100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rPr>
            <a:t>Panorama de assinaturas e receita</a:t>
          </a:r>
        </a:p>
      </xdr:txBody>
    </xdr:sp>
    <xdr:clientData/>
  </xdr:twoCellAnchor>
  <xdr:twoCellAnchor editAs="oneCell">
    <xdr:from>
      <xdr:col>1</xdr:col>
      <xdr:colOff>257175</xdr:colOff>
      <xdr:row>1</xdr:row>
      <xdr:rowOff>161925</xdr:rowOff>
    </xdr:from>
    <xdr:to>
      <xdr:col>1</xdr:col>
      <xdr:colOff>781050</xdr:colOff>
      <xdr:row>4</xdr:row>
      <xdr:rowOff>47625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8E921AA-E1C0-4BF5-A097-1E04834143F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68307" b="-1143"/>
        <a:stretch/>
      </xdr:blipFill>
      <xdr:spPr>
        <a:xfrm>
          <a:off x="1219200" y="342900"/>
          <a:ext cx="523875" cy="438150"/>
        </a:xfrm>
        <a:prstGeom prst="rect">
          <a:avLst/>
        </a:prstGeom>
      </xdr:spPr>
    </xdr:pic>
    <xdr:clientData/>
  </xdr:twoCellAnchor>
  <xdr:twoCellAnchor>
    <xdr:from>
      <xdr:col>3</xdr:col>
      <xdr:colOff>809625</xdr:colOff>
      <xdr:row>5</xdr:row>
      <xdr:rowOff>114301</xdr:rowOff>
    </xdr:from>
    <xdr:to>
      <xdr:col>6</xdr:col>
      <xdr:colOff>657225</xdr:colOff>
      <xdr:row>11</xdr:row>
      <xdr:rowOff>57150</xdr:rowOff>
    </xdr:to>
    <xdr:grpSp>
      <xdr:nvGrpSpPr>
        <xdr:cNvPr id="18" name="Agrupar 17">
          <a:extLst>
            <a:ext uri="{FF2B5EF4-FFF2-40B4-BE49-F238E27FC236}">
              <a16:creationId xmlns:a16="http://schemas.microsoft.com/office/drawing/2014/main" id="{4CC06F7E-C124-42B7-B763-17405D6E3D67}"/>
            </a:ext>
          </a:extLst>
        </xdr:cNvPr>
        <xdr:cNvGrpSpPr/>
      </xdr:nvGrpSpPr>
      <xdr:grpSpPr>
        <a:xfrm>
          <a:off x="3695700" y="1057276"/>
          <a:ext cx="2733675" cy="1028699"/>
          <a:chOff x="3695700" y="1228725"/>
          <a:chExt cx="1952625" cy="676275"/>
        </a:xfrm>
      </xdr:grpSpPr>
      <xdr:sp macro="" textlink="C̳álculos!C13">
        <xdr:nvSpPr>
          <xdr:cNvPr id="12" name="Retângulo: Cantos Arredondados 11">
            <a:extLst>
              <a:ext uri="{FF2B5EF4-FFF2-40B4-BE49-F238E27FC236}">
                <a16:creationId xmlns:a16="http://schemas.microsoft.com/office/drawing/2014/main" id="{5DDFBB87-B626-4AEC-A2D2-9511A118D109}"/>
              </a:ext>
            </a:extLst>
          </xdr:cNvPr>
          <xdr:cNvSpPr/>
        </xdr:nvSpPr>
        <xdr:spPr>
          <a:xfrm>
            <a:off x="3695700" y="1228725"/>
            <a:ext cx="1952625" cy="676275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CE712152-8E14-4D97-86FD-3DD04F6E4D24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 R$ 7.633,00 </a:t>
            </a:fld>
            <a:endParaRPr lang="pt-BR" sz="1800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17" name="Retângulo: Cantos Arredondados 16">
            <a:extLst>
              <a:ext uri="{FF2B5EF4-FFF2-40B4-BE49-F238E27FC236}">
                <a16:creationId xmlns:a16="http://schemas.microsoft.com/office/drawing/2014/main" id="{4524D522-A627-44D8-AC28-8B7CE909363B}"/>
              </a:ext>
            </a:extLst>
          </xdr:cNvPr>
          <xdr:cNvSpPr/>
        </xdr:nvSpPr>
        <xdr:spPr>
          <a:xfrm>
            <a:off x="3695700" y="1228725"/>
            <a:ext cx="1952625" cy="285750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RECEITA</a:t>
            </a:r>
            <a:r>
              <a:rPr lang="pt-BR" sz="1100" b="1" baseline="0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TOTAL</a:t>
            </a:r>
            <a:endParaRPr lang="pt-BR" sz="1100" b="1">
              <a:solidFill>
                <a:srgbClr val="E8E6E9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1</xdr:col>
      <xdr:colOff>66676</xdr:colOff>
      <xdr:row>5</xdr:row>
      <xdr:rowOff>133349</xdr:rowOff>
    </xdr:from>
    <xdr:to>
      <xdr:col>3</xdr:col>
      <xdr:colOff>552452</xdr:colOff>
      <xdr:row>11</xdr:row>
      <xdr:rowOff>38098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CBC7775B-C3A2-4D11-9317-2D7CE444A84A}"/>
            </a:ext>
          </a:extLst>
        </xdr:cNvPr>
        <xdr:cNvGrpSpPr/>
      </xdr:nvGrpSpPr>
      <xdr:grpSpPr>
        <a:xfrm>
          <a:off x="1028701" y="1076324"/>
          <a:ext cx="2409826" cy="990599"/>
          <a:chOff x="3762375" y="1163698"/>
          <a:chExt cx="1962151" cy="676275"/>
        </a:xfrm>
      </xdr:grpSpPr>
      <xdr:sp macro="" textlink="C̳álculos!C6">
        <xdr:nvSpPr>
          <xdr:cNvPr id="13" name="Retângulo: Cantos Arredondados 12">
            <a:extLst>
              <a:ext uri="{FF2B5EF4-FFF2-40B4-BE49-F238E27FC236}">
                <a16:creationId xmlns:a16="http://schemas.microsoft.com/office/drawing/2014/main" id="{408E3AF7-6570-4CE1-AA19-68B13172D5EB}"/>
              </a:ext>
            </a:extLst>
          </xdr:cNvPr>
          <xdr:cNvSpPr/>
        </xdr:nvSpPr>
        <xdr:spPr>
          <a:xfrm>
            <a:off x="3762375" y="1163698"/>
            <a:ext cx="1952625" cy="676275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660E1D8B-003A-47F2-B161-548C67407966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295</a:t>
            </a:fld>
            <a:endParaRPr lang="pt-BR" sz="1800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1EA7B1E8-F5B1-45AE-AF6A-3FDDA74B0FB2}"/>
              </a:ext>
            </a:extLst>
          </xdr:cNvPr>
          <xdr:cNvSpPr/>
        </xdr:nvSpPr>
        <xdr:spPr>
          <a:xfrm>
            <a:off x="3762376" y="1163699"/>
            <a:ext cx="1962150" cy="292253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 DE ASSINANTES</a:t>
            </a:r>
          </a:p>
        </xdr:txBody>
      </xdr:sp>
    </xdr:grpSp>
    <xdr:clientData/>
  </xdr:twoCellAnchor>
  <xdr:twoCellAnchor>
    <xdr:from>
      <xdr:col>6</xdr:col>
      <xdr:colOff>866777</xdr:colOff>
      <xdr:row>5</xdr:row>
      <xdr:rowOff>95250</xdr:rowOff>
    </xdr:from>
    <xdr:to>
      <xdr:col>9</xdr:col>
      <xdr:colOff>685801</xdr:colOff>
      <xdr:row>11</xdr:row>
      <xdr:rowOff>47625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72FC7CE8-0FB7-4FC0-B2B0-09122F4CE405}"/>
            </a:ext>
          </a:extLst>
        </xdr:cNvPr>
        <xdr:cNvGrpSpPr/>
      </xdr:nvGrpSpPr>
      <xdr:grpSpPr>
        <a:xfrm>
          <a:off x="6638927" y="1038225"/>
          <a:ext cx="2705099" cy="1038225"/>
          <a:chOff x="6696077" y="1085850"/>
          <a:chExt cx="2705099" cy="1038225"/>
        </a:xfrm>
      </xdr:grpSpPr>
      <xdr:sp macro="" textlink="C̳álculos!C26">
        <xdr:nvSpPr>
          <xdr:cNvPr id="20" name="Retângulo: Cantos Arredondados 19">
            <a:extLst>
              <a:ext uri="{FF2B5EF4-FFF2-40B4-BE49-F238E27FC236}">
                <a16:creationId xmlns:a16="http://schemas.microsoft.com/office/drawing/2014/main" id="{47C0F199-035D-4D58-B1D4-717E4797CE81}"/>
              </a:ext>
            </a:extLst>
          </xdr:cNvPr>
          <xdr:cNvSpPr/>
        </xdr:nvSpPr>
        <xdr:spPr>
          <a:xfrm>
            <a:off x="6705601" y="1085850"/>
            <a:ext cx="2691967" cy="1038225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97752D17-237A-4B29-9FC2-BBB163B6CCAE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 R$ 2.106,00 </a:t>
            </a:fld>
            <a:endParaRPr lang="en-US" sz="1800" b="0" i="0" u="none" strike="noStrike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21" name="Retângulo: Cantos Arredondados 20">
            <a:extLst>
              <a:ext uri="{FF2B5EF4-FFF2-40B4-BE49-F238E27FC236}">
                <a16:creationId xmlns:a16="http://schemas.microsoft.com/office/drawing/2014/main" id="{925A6B89-C54D-4495-BE9D-EC889D2D8ABA}"/>
              </a:ext>
            </a:extLst>
          </xdr:cNvPr>
          <xdr:cNvSpPr/>
        </xdr:nvSpPr>
        <xdr:spPr>
          <a:xfrm>
            <a:off x="6696077" y="1085852"/>
            <a:ext cx="2705099" cy="448670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 DE CUPONS</a:t>
            </a:r>
          </a:p>
        </xdr:txBody>
      </xdr:sp>
    </xdr:grpSp>
    <xdr:clientData/>
  </xdr:twoCellAnchor>
  <xdr:twoCellAnchor>
    <xdr:from>
      <xdr:col>10</xdr:col>
      <xdr:colOff>9525</xdr:colOff>
      <xdr:row>5</xdr:row>
      <xdr:rowOff>114300</xdr:rowOff>
    </xdr:from>
    <xdr:to>
      <xdr:col>12</xdr:col>
      <xdr:colOff>790575</xdr:colOff>
      <xdr:row>11</xdr:row>
      <xdr:rowOff>66675</xdr:rowOff>
    </xdr:to>
    <xdr:grpSp>
      <xdr:nvGrpSpPr>
        <xdr:cNvPr id="22" name="Agrupar 21">
          <a:extLst>
            <a:ext uri="{FF2B5EF4-FFF2-40B4-BE49-F238E27FC236}">
              <a16:creationId xmlns:a16="http://schemas.microsoft.com/office/drawing/2014/main" id="{3FA1D19F-9E11-4420-86CD-79B237D2D506}"/>
            </a:ext>
          </a:extLst>
        </xdr:cNvPr>
        <xdr:cNvGrpSpPr/>
      </xdr:nvGrpSpPr>
      <xdr:grpSpPr>
        <a:xfrm>
          <a:off x="9629775" y="1057275"/>
          <a:ext cx="2705100" cy="1038225"/>
          <a:chOff x="3762375" y="1163698"/>
          <a:chExt cx="1962151" cy="676275"/>
        </a:xfrm>
      </xdr:grpSpPr>
      <xdr:sp macro="" textlink="C̳álculos!C19">
        <xdr:nvSpPr>
          <xdr:cNvPr id="28" name="Retângulo: Cantos Arredondados 27">
            <a:extLst>
              <a:ext uri="{FF2B5EF4-FFF2-40B4-BE49-F238E27FC236}">
                <a16:creationId xmlns:a16="http://schemas.microsoft.com/office/drawing/2014/main" id="{6456CC4C-AC32-4389-A502-B086A0183402}"/>
              </a:ext>
            </a:extLst>
          </xdr:cNvPr>
          <xdr:cNvSpPr/>
        </xdr:nvSpPr>
        <xdr:spPr>
          <a:xfrm>
            <a:off x="3762375" y="1163698"/>
            <a:ext cx="1952625" cy="676275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C2AE9551-02BD-4BCF-8049-CD0D24D04586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13%</a:t>
            </a:fld>
            <a:endParaRPr lang="en-US" sz="1800" b="0" i="0" u="none" strike="noStrike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29" name="Retângulo: Cantos Arredondados 28">
            <a:extLst>
              <a:ext uri="{FF2B5EF4-FFF2-40B4-BE49-F238E27FC236}">
                <a16:creationId xmlns:a16="http://schemas.microsoft.com/office/drawing/2014/main" id="{4E90775F-827A-405F-A8F4-5DDB611DA739}"/>
              </a:ext>
            </a:extLst>
          </xdr:cNvPr>
          <xdr:cNvSpPr/>
        </xdr:nvSpPr>
        <xdr:spPr>
          <a:xfrm>
            <a:off x="3762376" y="1163699"/>
            <a:ext cx="1962150" cy="292253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RENOVAÇÃO AUTOMÁTICA</a:t>
            </a:r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rton" refreshedDate="46309.50050185185" createdVersion="7" refreshedVersion="7" minRefreshableVersion="3" recordCount="295" xr:uid="{2846FFD9-53BF-4B0D-9A88-81A08FC5402F}">
  <cacheSource type="worksheet">
    <worksheetSource name="tbldesign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/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s v="João Silva"/>
    <x v="0"/>
    <d v="2024-01-01T00:00:00"/>
    <x v="0"/>
    <n v="15"/>
    <x v="0"/>
    <s v="Yes"/>
    <n v="30"/>
    <s v="Yes"/>
    <n v="20"/>
    <n v="5"/>
    <n v="60"/>
  </r>
  <r>
    <n v="3232"/>
    <s v="Maria Oliveira"/>
    <x v="1"/>
    <d v="2024-01-15T00:00:00"/>
    <x v="1"/>
    <n v="5"/>
    <x v="1"/>
    <s v="No"/>
    <s v="-"/>
    <s v="No"/>
    <n v="0"/>
    <n v="0"/>
    <n v="5"/>
  </r>
  <r>
    <n v="3233"/>
    <s v="Lucas Fernandes"/>
    <x v="2"/>
    <d v="2024-02-10T00:00:00"/>
    <x v="0"/>
    <n v="10"/>
    <x v="2"/>
    <s v="No"/>
    <s v="-"/>
    <s v="Yes"/>
    <n v="20"/>
    <n v="10"/>
    <n v="20"/>
  </r>
  <r>
    <n v="3234"/>
    <s v="Ana Souza"/>
    <x v="0"/>
    <d v="2024-02-20T00:00:00"/>
    <x v="1"/>
    <n v="15"/>
    <x v="0"/>
    <s v="Yes"/>
    <n v="30"/>
    <s v="Yes"/>
    <n v="20"/>
    <n v="3"/>
    <n v="62"/>
  </r>
  <r>
    <n v="3235"/>
    <s v="Pedro Gonçalves"/>
    <x v="1"/>
    <d v="2024-03-05T00:00:00"/>
    <x v="0"/>
    <n v="5"/>
    <x v="0"/>
    <s v="No"/>
    <s v="-"/>
    <s v="No"/>
    <n v="0"/>
    <n v="1"/>
    <n v="4"/>
  </r>
  <r>
    <n v="3236"/>
    <s v="Felipe Costa"/>
    <x v="2"/>
    <d v="2024-03-02T00:00:00"/>
    <x v="1"/>
    <n v="10"/>
    <x v="0"/>
    <s v="No"/>
    <s v="-"/>
    <s v="Yes"/>
    <n v="20"/>
    <n v="2"/>
    <n v="28"/>
  </r>
  <r>
    <n v="3237"/>
    <s v="Camila Ribeiro"/>
    <x v="0"/>
    <d v="2024-03-03T00:00:00"/>
    <x v="0"/>
    <n v="15"/>
    <x v="2"/>
    <s v="Yes"/>
    <n v="30"/>
    <s v="Yes"/>
    <n v="20"/>
    <n v="10"/>
    <n v="55"/>
  </r>
  <r>
    <n v="3238"/>
    <s v="André Mendes"/>
    <x v="1"/>
    <d v="2024-03-04T00:00:00"/>
    <x v="0"/>
    <n v="5"/>
    <x v="1"/>
    <s v="No"/>
    <s v="-"/>
    <s v="No"/>
    <n v="0"/>
    <n v="0"/>
    <n v="5"/>
  </r>
  <r>
    <n v="3239"/>
    <s v="Sofia Almeida"/>
    <x v="0"/>
    <d v="2024-03-05T00:00:00"/>
    <x v="1"/>
    <n v="15"/>
    <x v="0"/>
    <s v="Yes"/>
    <n v="30"/>
    <s v="Yes"/>
    <n v="20"/>
    <n v="5"/>
    <n v="60"/>
  </r>
  <r>
    <n v="3240"/>
    <s v="Bruno Martins"/>
    <x v="2"/>
    <d v="2024-03-06T00:00:00"/>
    <x v="0"/>
    <n v="10"/>
    <x v="2"/>
    <s v="No"/>
    <s v="-"/>
    <s v="Yes"/>
    <n v="20"/>
    <n v="15"/>
    <n v="15"/>
  </r>
  <r>
    <n v="3241"/>
    <s v="Rita Castro"/>
    <x v="1"/>
    <d v="2024-03-07T00:00:00"/>
    <x v="1"/>
    <n v="5"/>
    <x v="0"/>
    <s v="No"/>
    <s v="-"/>
    <s v="No"/>
    <n v="0"/>
    <n v="1"/>
    <n v="4"/>
  </r>
  <r>
    <n v="3242"/>
    <s v="Marco Túlio"/>
    <x v="0"/>
    <d v="2024-03-08T00:00:00"/>
    <x v="0"/>
    <n v="15"/>
    <x v="1"/>
    <s v="Yes"/>
    <n v="30"/>
    <s v="Yes"/>
    <n v="20"/>
    <n v="20"/>
    <n v="45"/>
  </r>
  <r>
    <n v="3243"/>
    <s v="Lívia Silveira"/>
    <x v="2"/>
    <d v="2024-03-09T00:00:00"/>
    <x v="1"/>
    <n v="10"/>
    <x v="0"/>
    <s v="No"/>
    <s v="-"/>
    <s v="Yes"/>
    <n v="20"/>
    <n v="10"/>
    <n v="20"/>
  </r>
  <r>
    <n v="3244"/>
    <s v="Diogo Sousa"/>
    <x v="1"/>
    <d v="2024-03-10T00:00:00"/>
    <x v="0"/>
    <n v="5"/>
    <x v="2"/>
    <s v="No"/>
    <s v="-"/>
    <s v="No"/>
    <n v="0"/>
    <n v="0"/>
    <n v="5"/>
  </r>
  <r>
    <n v="3245"/>
    <s v="Fernanda Lima"/>
    <x v="0"/>
    <d v="2024-03-11T00:00:00"/>
    <x v="1"/>
    <n v="15"/>
    <x v="0"/>
    <s v="Yes"/>
    <n v="30"/>
    <s v="Yes"/>
    <n v="20"/>
    <n v="8"/>
    <n v="57"/>
  </r>
  <r>
    <n v="3246"/>
    <s v="Caio Pereira"/>
    <x v="2"/>
    <d v="2024-03-12T00:00:00"/>
    <x v="0"/>
    <n v="10"/>
    <x v="1"/>
    <s v="No"/>
    <s v="-"/>
    <s v="Yes"/>
    <n v="20"/>
    <n v="12"/>
    <n v="18"/>
  </r>
  <r>
    <n v="3247"/>
    <s v="Beatriz Gomes"/>
    <x v="1"/>
    <d v="2024-03-13T00:00:00"/>
    <x v="1"/>
    <n v="5"/>
    <x v="0"/>
    <s v="No"/>
    <s v="-"/>
    <s v="No"/>
    <n v="0"/>
    <n v="2"/>
    <n v="3"/>
  </r>
  <r>
    <n v="3248"/>
    <s v="Cesar Oliveira"/>
    <x v="0"/>
    <d v="2024-03-14T00:00:00"/>
    <x v="0"/>
    <n v="15"/>
    <x v="2"/>
    <s v="Yes"/>
    <n v="30"/>
    <s v="Yes"/>
    <n v="20"/>
    <n v="7"/>
    <n v="58"/>
  </r>
  <r>
    <n v="3249"/>
    <s v="Débora Machado"/>
    <x v="2"/>
    <d v="2024-03-15T00:00:00"/>
    <x v="1"/>
    <n v="10"/>
    <x v="0"/>
    <s v="No"/>
    <s v="-"/>
    <s v="Yes"/>
    <n v="20"/>
    <n v="5"/>
    <n v="25"/>
  </r>
  <r>
    <n v="3250"/>
    <s v="Eduardo Vargas"/>
    <x v="1"/>
    <d v="2024-03-16T00:00:00"/>
    <x v="0"/>
    <n v="5"/>
    <x v="1"/>
    <s v="No"/>
    <s v="-"/>
    <s v="No"/>
    <n v="0"/>
    <n v="0"/>
    <n v="5"/>
  </r>
  <r>
    <n v="3251"/>
    <s v="Gabriela Santos"/>
    <x v="0"/>
    <d v="2024-03-17T00:00:00"/>
    <x v="1"/>
    <n v="15"/>
    <x v="0"/>
    <s v="Yes"/>
    <n v="30"/>
    <s v="Yes"/>
    <n v="20"/>
    <n v="3"/>
    <n v="62"/>
  </r>
  <r>
    <n v="3252"/>
    <s v="Henrique Dias"/>
    <x v="2"/>
    <d v="2024-03-18T00:00:00"/>
    <x v="0"/>
    <n v="10"/>
    <x v="2"/>
    <s v="No"/>
    <s v="-"/>
    <s v="Yes"/>
    <n v="20"/>
    <n v="15"/>
    <n v="15"/>
  </r>
  <r>
    <n v="3253"/>
    <s v="Isabela Moreira"/>
    <x v="1"/>
    <d v="2024-03-19T00:00:00"/>
    <x v="1"/>
    <n v="5"/>
    <x v="0"/>
    <s v="No"/>
    <s v="-"/>
    <s v="No"/>
    <n v="0"/>
    <n v="1"/>
    <n v="4"/>
  </r>
  <r>
    <n v="3254"/>
    <s v="Joaquim Barbosa"/>
    <x v="0"/>
    <d v="2024-03-20T00:00:00"/>
    <x v="0"/>
    <n v="15"/>
    <x v="1"/>
    <s v="Yes"/>
    <n v="30"/>
    <s v="Yes"/>
    <n v="20"/>
    <n v="20"/>
    <n v="45"/>
  </r>
  <r>
    <n v="3255"/>
    <s v="Lara Rocha"/>
    <x v="2"/>
    <d v="2024-03-21T00:00:00"/>
    <x v="1"/>
    <n v="10"/>
    <x v="0"/>
    <s v="No"/>
    <s v="-"/>
    <s v="Yes"/>
    <n v="20"/>
    <n v="10"/>
    <n v="20"/>
  </r>
  <r>
    <n v="3256"/>
    <s v="Matheus Silva"/>
    <x v="1"/>
    <d v="2024-03-22T00:00:00"/>
    <x v="0"/>
    <n v="5"/>
    <x v="2"/>
    <s v="No"/>
    <s v="-"/>
    <s v="No"/>
    <n v="0"/>
    <n v="0"/>
    <n v="5"/>
  </r>
  <r>
    <n v="3257"/>
    <s v="Nicole Costa"/>
    <x v="0"/>
    <d v="2024-03-23T00:00:00"/>
    <x v="1"/>
    <n v="15"/>
    <x v="0"/>
    <s v="Yes"/>
    <n v="30"/>
    <s v="Yes"/>
    <n v="20"/>
    <n v="5"/>
    <n v="60"/>
  </r>
  <r>
    <n v="3258"/>
    <s v="Otávio Mendonça"/>
    <x v="2"/>
    <d v="2024-03-24T00:00:00"/>
    <x v="0"/>
    <n v="10"/>
    <x v="1"/>
    <s v="No"/>
    <s v="-"/>
    <s v="Yes"/>
    <n v="20"/>
    <n v="15"/>
    <n v="15"/>
  </r>
  <r>
    <n v="3259"/>
    <s v="Paula Ferreira"/>
    <x v="1"/>
    <d v="2024-03-25T00:00:00"/>
    <x v="1"/>
    <n v="5"/>
    <x v="0"/>
    <s v="No"/>
    <s v="-"/>
    <s v="No"/>
    <n v="0"/>
    <n v="1"/>
    <n v="4"/>
  </r>
  <r>
    <n v="3260"/>
    <s v="Raquel Alves"/>
    <x v="0"/>
    <d v="2024-03-26T00:00:00"/>
    <x v="0"/>
    <n v="15"/>
    <x v="2"/>
    <s v="Yes"/>
    <n v="30"/>
    <s v="Yes"/>
    <n v="20"/>
    <n v="7"/>
    <n v="58"/>
  </r>
  <r>
    <n v="3261"/>
    <s v="Samuel Pires"/>
    <x v="2"/>
    <d v="2024-03-27T00:00:00"/>
    <x v="1"/>
    <n v="10"/>
    <x v="0"/>
    <s v="No"/>
    <s v="-"/>
    <s v="Yes"/>
    <n v="20"/>
    <n v="10"/>
    <n v="20"/>
  </r>
  <r>
    <n v="3262"/>
    <s v="Tânia Barros"/>
    <x v="1"/>
    <d v="2024-03-28T00:00:00"/>
    <x v="0"/>
    <n v="5"/>
    <x v="1"/>
    <s v="No"/>
    <s v="-"/>
    <s v="No"/>
    <n v="0"/>
    <n v="0"/>
    <n v="5"/>
  </r>
  <r>
    <n v="3263"/>
    <s v="Vinicius Lima"/>
    <x v="0"/>
    <d v="2024-03-29T00:00:00"/>
    <x v="1"/>
    <n v="15"/>
    <x v="0"/>
    <s v="Yes"/>
    <n v="30"/>
    <s v="Yes"/>
    <n v="20"/>
    <n v="3"/>
    <n v="62"/>
  </r>
  <r>
    <n v="3264"/>
    <s v="Yasmin Teixeira"/>
    <x v="2"/>
    <d v="2024-03-30T00:00:00"/>
    <x v="0"/>
    <n v="10"/>
    <x v="2"/>
    <s v="No"/>
    <s v="-"/>
    <s v="Yes"/>
    <n v="20"/>
    <n v="15"/>
    <n v="15"/>
  </r>
  <r>
    <n v="3265"/>
    <s v="Zé Carlos"/>
    <x v="1"/>
    <d v="2024-03-31T00:00:00"/>
    <x v="1"/>
    <n v="5"/>
    <x v="0"/>
    <s v="No"/>
    <s v="-"/>
    <s v="No"/>
    <n v="0"/>
    <n v="1"/>
    <n v="4"/>
  </r>
  <r>
    <n v="3266"/>
    <s v="Amanda Nogueira"/>
    <x v="1"/>
    <d v="2024-04-01T00:00:00"/>
    <x v="0"/>
    <n v="5"/>
    <x v="0"/>
    <s v="No"/>
    <s v="-"/>
    <s v="No"/>
    <n v="0"/>
    <n v="0"/>
    <n v="5"/>
  </r>
  <r>
    <n v="3267"/>
    <s v="Bruno Cavalheiro"/>
    <x v="0"/>
    <d v="2024-04-02T00:00:00"/>
    <x v="1"/>
    <n v="15"/>
    <x v="2"/>
    <s v="Yes"/>
    <n v="30"/>
    <s v="Yes"/>
    <n v="20"/>
    <n v="7"/>
    <n v="58"/>
  </r>
  <r>
    <n v="3268"/>
    <s v="Carla Dias"/>
    <x v="2"/>
    <d v="2024-04-03T00:00:00"/>
    <x v="0"/>
    <n v="10"/>
    <x v="1"/>
    <s v="No"/>
    <s v="-"/>
    <s v="Yes"/>
    <n v="20"/>
    <n v="10"/>
    <n v="20"/>
  </r>
  <r>
    <n v="3269"/>
    <s v="Diego Fontes"/>
    <x v="1"/>
    <d v="2024-04-04T00:00:00"/>
    <x v="1"/>
    <n v="5"/>
    <x v="2"/>
    <s v="No"/>
    <s v="-"/>
    <s v="No"/>
    <n v="0"/>
    <n v="1"/>
    <n v="4"/>
  </r>
  <r>
    <n v="3270"/>
    <s v="Eunice Lima"/>
    <x v="0"/>
    <d v="2024-04-05T00:00:00"/>
    <x v="0"/>
    <n v="15"/>
    <x v="0"/>
    <s v="Yes"/>
    <n v="30"/>
    <s v="Yes"/>
    <n v="20"/>
    <n v="15"/>
    <n v="50"/>
  </r>
  <r>
    <n v="3271"/>
    <s v="Fábio Martins"/>
    <x v="2"/>
    <d v="2024-04-06T00:00:00"/>
    <x v="1"/>
    <n v="10"/>
    <x v="0"/>
    <s v="No"/>
    <s v="-"/>
    <s v="Yes"/>
    <n v="20"/>
    <n v="5"/>
    <n v="25"/>
  </r>
  <r>
    <n v="3272"/>
    <s v="Gisele Araújo"/>
    <x v="1"/>
    <d v="2024-04-07T00:00:00"/>
    <x v="0"/>
    <n v="5"/>
    <x v="1"/>
    <s v="No"/>
    <s v="-"/>
    <s v="No"/>
    <n v="0"/>
    <n v="0"/>
    <n v="5"/>
  </r>
  <r>
    <n v="3273"/>
    <s v="Hélio Castro"/>
    <x v="0"/>
    <d v="2024-04-08T00:00:00"/>
    <x v="1"/>
    <n v="15"/>
    <x v="2"/>
    <s v="Yes"/>
    <n v="30"/>
    <s v="Yes"/>
    <n v="20"/>
    <n v="20"/>
    <n v="45"/>
  </r>
  <r>
    <n v="3274"/>
    <s v="Ingrid Menezes"/>
    <x v="2"/>
    <d v="2024-04-09T00:00:00"/>
    <x v="0"/>
    <n v="10"/>
    <x v="2"/>
    <s v="No"/>
    <s v="-"/>
    <s v="Yes"/>
    <n v="20"/>
    <n v="12"/>
    <n v="18"/>
  </r>
  <r>
    <n v="3275"/>
    <s v="Jorge Baptista"/>
    <x v="1"/>
    <d v="2024-04-10T00:00:00"/>
    <x v="1"/>
    <n v="5"/>
    <x v="0"/>
    <s v="No"/>
    <s v="-"/>
    <s v="No"/>
    <n v="0"/>
    <n v="2"/>
    <n v="3"/>
  </r>
  <r>
    <n v="3276"/>
    <s v="Kléber Oliveira"/>
    <x v="0"/>
    <d v="2024-04-11T00:00:00"/>
    <x v="0"/>
    <n v="15"/>
    <x v="1"/>
    <s v="Yes"/>
    <n v="30"/>
    <s v="Yes"/>
    <n v="20"/>
    <n v="5"/>
    <n v="60"/>
  </r>
  <r>
    <n v="3277"/>
    <s v="Luciana Freitas"/>
    <x v="2"/>
    <d v="2024-04-12T00:00:00"/>
    <x v="1"/>
    <n v="10"/>
    <x v="0"/>
    <s v="No"/>
    <s v="-"/>
    <s v="Yes"/>
    <n v="20"/>
    <n v="10"/>
    <n v="20"/>
  </r>
  <r>
    <n v="3278"/>
    <s v="Márcia Eller"/>
    <x v="1"/>
    <d v="2024-04-13T00:00:00"/>
    <x v="0"/>
    <n v="5"/>
    <x v="2"/>
    <s v="No"/>
    <s v="-"/>
    <s v="No"/>
    <n v="0"/>
    <n v="0"/>
    <n v="5"/>
  </r>
  <r>
    <n v="3279"/>
    <s v="Nilo Peçanha"/>
    <x v="0"/>
    <d v="2024-04-14T00:00:00"/>
    <x v="1"/>
    <n v="15"/>
    <x v="0"/>
    <s v="Yes"/>
    <n v="30"/>
    <s v="Yes"/>
    <n v="20"/>
    <n v="3"/>
    <n v="62"/>
  </r>
  <r>
    <n v="3280"/>
    <s v="Oscar Neves"/>
    <x v="2"/>
    <d v="2024-04-15T00:00:00"/>
    <x v="0"/>
    <n v="10"/>
    <x v="1"/>
    <s v="No"/>
    <s v="-"/>
    <s v="Yes"/>
    <n v="20"/>
    <n v="15"/>
    <n v="15"/>
  </r>
  <r>
    <n v="3281"/>
    <s v="Patrícia Soares"/>
    <x v="1"/>
    <d v="2024-04-16T00:00:00"/>
    <x v="1"/>
    <n v="5"/>
    <x v="0"/>
    <s v="No"/>
    <s v="-"/>
    <s v="No"/>
    <n v="0"/>
    <n v="1"/>
    <n v="4"/>
  </r>
  <r>
    <n v="3282"/>
    <s v="Quirino Gonçalves"/>
    <x v="0"/>
    <d v="2024-04-17T00:00:00"/>
    <x v="0"/>
    <n v="15"/>
    <x v="2"/>
    <s v="Yes"/>
    <n v="30"/>
    <s v="Yes"/>
    <n v="20"/>
    <n v="7"/>
    <n v="58"/>
  </r>
  <r>
    <n v="3283"/>
    <s v="Raul Machado"/>
    <x v="2"/>
    <d v="2024-04-18T00:00:00"/>
    <x v="1"/>
    <n v="10"/>
    <x v="0"/>
    <s v="No"/>
    <s v="-"/>
    <s v="Yes"/>
    <n v="20"/>
    <n v="10"/>
    <n v="20"/>
  </r>
  <r>
    <n v="3284"/>
    <s v="Sônia Lobo"/>
    <x v="1"/>
    <d v="2024-04-19T00:00:00"/>
    <x v="0"/>
    <n v="5"/>
    <x v="1"/>
    <s v="No"/>
    <s v="-"/>
    <s v="No"/>
    <n v="0"/>
    <n v="0"/>
    <n v="5"/>
  </r>
  <r>
    <n v="3285"/>
    <s v="Tiago Ramos"/>
    <x v="0"/>
    <d v="2024-04-20T00:00:00"/>
    <x v="1"/>
    <n v="15"/>
    <x v="0"/>
    <s v="Yes"/>
    <n v="30"/>
    <s v="Yes"/>
    <n v="20"/>
    <n v="20"/>
    <n v="45"/>
  </r>
  <r>
    <n v="3286"/>
    <s v="Ugo Pires"/>
    <x v="2"/>
    <d v="2024-04-21T00:00:00"/>
    <x v="0"/>
    <n v="10"/>
    <x v="2"/>
    <s v="No"/>
    <s v="-"/>
    <s v="Yes"/>
    <n v="20"/>
    <n v="15"/>
    <n v="15"/>
  </r>
  <r>
    <n v="3287"/>
    <s v="Valéria Nobre"/>
    <x v="1"/>
    <d v="2024-04-22T00:00:00"/>
    <x v="1"/>
    <n v="5"/>
    <x v="0"/>
    <s v="No"/>
    <s v="-"/>
    <s v="No"/>
    <n v="0"/>
    <n v="1"/>
    <n v="4"/>
  </r>
  <r>
    <n v="3288"/>
    <s v="William Siqueira"/>
    <x v="0"/>
    <d v="2024-04-23T00:00:00"/>
    <x v="0"/>
    <n v="15"/>
    <x v="1"/>
    <s v="Yes"/>
    <n v="30"/>
    <s v="Yes"/>
    <n v="20"/>
    <n v="3"/>
    <n v="62"/>
  </r>
  <r>
    <n v="3289"/>
    <s v="Xuxa Meneghel"/>
    <x v="2"/>
    <d v="2024-04-24T00:00:00"/>
    <x v="1"/>
    <n v="10"/>
    <x v="0"/>
    <s v="No"/>
    <s v="-"/>
    <s v="Yes"/>
    <n v="20"/>
    <n v="10"/>
    <n v="20"/>
  </r>
  <r>
    <n v="3290"/>
    <s v="Yara Figueiredo"/>
    <x v="1"/>
    <d v="2024-04-25T00:00:00"/>
    <x v="0"/>
    <n v="5"/>
    <x v="2"/>
    <s v="No"/>
    <s v="-"/>
    <s v="No"/>
    <n v="0"/>
    <n v="0"/>
    <n v="5"/>
  </r>
  <r>
    <n v="3291"/>
    <s v="Zacarias Alves"/>
    <x v="0"/>
    <d v="2024-04-26T00:00:00"/>
    <x v="1"/>
    <n v="15"/>
    <x v="0"/>
    <s v="Yes"/>
    <n v="30"/>
    <s v="Yes"/>
    <n v="20"/>
    <n v="5"/>
    <n v="60"/>
  </r>
  <r>
    <n v="3292"/>
    <s v="Amanda Bynes"/>
    <x v="2"/>
    <d v="2024-04-27T00:00:00"/>
    <x v="0"/>
    <n v="10"/>
    <x v="1"/>
    <s v="No"/>
    <s v="-"/>
    <s v="Yes"/>
    <n v="20"/>
    <n v="15"/>
    <n v="15"/>
  </r>
  <r>
    <n v="3293"/>
    <s v="Bruno Mars"/>
    <x v="1"/>
    <d v="2024-04-28T00:00:00"/>
    <x v="1"/>
    <n v="5"/>
    <x v="0"/>
    <s v="No"/>
    <s v="-"/>
    <s v="No"/>
    <n v="0"/>
    <n v="1"/>
    <n v="4"/>
  </r>
  <r>
    <n v="3294"/>
    <s v="Carla Bruni"/>
    <x v="0"/>
    <d v="2024-04-29T00:00:00"/>
    <x v="0"/>
    <n v="15"/>
    <x v="2"/>
    <s v="Yes"/>
    <n v="30"/>
    <s v="Yes"/>
    <n v="20"/>
    <n v="20"/>
    <n v="45"/>
  </r>
  <r>
    <n v="3295"/>
    <s v="Diego Maradona"/>
    <x v="2"/>
    <d v="2024-04-30T00:00:00"/>
    <x v="1"/>
    <n v="10"/>
    <x v="0"/>
    <s v="No"/>
    <s v="-"/>
    <s v="Yes"/>
    <n v="20"/>
    <n v="5"/>
    <n v="25"/>
  </r>
  <r>
    <n v="3296"/>
    <s v="Estela Marques"/>
    <x v="1"/>
    <d v="2024-05-01T00:00:00"/>
    <x v="1"/>
    <n v="5"/>
    <x v="0"/>
    <s v="No"/>
    <s v="-"/>
    <s v="No"/>
    <n v="0"/>
    <n v="0"/>
    <n v="5"/>
  </r>
  <r>
    <n v="3297"/>
    <s v="Fábio Nobre"/>
    <x v="0"/>
    <d v="2024-05-02T00:00:00"/>
    <x v="0"/>
    <n v="15"/>
    <x v="2"/>
    <s v="Yes"/>
    <n v="30"/>
    <s v="Yes"/>
    <n v="20"/>
    <n v="7"/>
    <n v="58"/>
  </r>
  <r>
    <n v="3298"/>
    <s v="Gabriel Oliveira"/>
    <x v="2"/>
    <d v="2024-05-03T00:00:00"/>
    <x v="1"/>
    <n v="10"/>
    <x v="1"/>
    <s v="No"/>
    <s v="-"/>
    <s v="Yes"/>
    <n v="20"/>
    <n v="10"/>
    <n v="20"/>
  </r>
  <r>
    <n v="3299"/>
    <s v="Helena Santos"/>
    <x v="1"/>
    <d v="2024-05-04T00:00:00"/>
    <x v="0"/>
    <n v="5"/>
    <x v="2"/>
    <s v="No"/>
    <s v="-"/>
    <s v="No"/>
    <n v="0"/>
    <n v="1"/>
    <n v="4"/>
  </r>
  <r>
    <n v="3300"/>
    <s v="Ivan Carvalho"/>
    <x v="0"/>
    <d v="2024-05-05T00:00:00"/>
    <x v="1"/>
    <n v="15"/>
    <x v="0"/>
    <s v="Yes"/>
    <n v="30"/>
    <s v="Yes"/>
    <n v="20"/>
    <n v="15"/>
    <n v="50"/>
  </r>
  <r>
    <n v="3301"/>
    <s v="Júlia Ferreira"/>
    <x v="2"/>
    <d v="2024-05-06T00:00:00"/>
    <x v="0"/>
    <n v="10"/>
    <x v="0"/>
    <s v="No"/>
    <s v="-"/>
    <s v="Yes"/>
    <n v="20"/>
    <n v="5"/>
    <n v="25"/>
  </r>
  <r>
    <n v="3302"/>
    <s v="Karla Alves"/>
    <x v="1"/>
    <d v="2024-05-07T00:00:00"/>
    <x v="1"/>
    <n v="5"/>
    <x v="1"/>
    <s v="No"/>
    <s v="-"/>
    <s v="No"/>
    <n v="0"/>
    <n v="0"/>
    <n v="5"/>
  </r>
  <r>
    <n v="3303"/>
    <s v="Lucas Mendes"/>
    <x v="0"/>
    <d v="2024-05-08T00:00:00"/>
    <x v="0"/>
    <n v="15"/>
    <x v="2"/>
    <s v="Yes"/>
    <n v="30"/>
    <s v="Yes"/>
    <n v="20"/>
    <n v="20"/>
    <n v="45"/>
  </r>
  <r>
    <n v="3304"/>
    <s v="Mônica Gomes"/>
    <x v="2"/>
    <d v="2024-05-09T00:00:00"/>
    <x v="1"/>
    <n v="10"/>
    <x v="2"/>
    <s v="No"/>
    <s v="-"/>
    <s v="Yes"/>
    <n v="20"/>
    <n v="12"/>
    <n v="18"/>
  </r>
  <r>
    <n v="3305"/>
    <s v="Norberto Queiroz"/>
    <x v="1"/>
    <d v="2024-05-10T00:00:00"/>
    <x v="0"/>
    <n v="5"/>
    <x v="0"/>
    <s v="No"/>
    <s v="-"/>
    <s v="No"/>
    <n v="0"/>
    <n v="2"/>
    <n v="3"/>
  </r>
  <r>
    <n v="3306"/>
    <s v="Otávio Barros"/>
    <x v="0"/>
    <d v="2024-05-11T00:00:00"/>
    <x v="1"/>
    <n v="15"/>
    <x v="1"/>
    <s v="Yes"/>
    <n v="30"/>
    <s v="Yes"/>
    <n v="20"/>
    <n v="5"/>
    <n v="60"/>
  </r>
  <r>
    <n v="3307"/>
    <s v="Paula Vieira"/>
    <x v="2"/>
    <d v="2024-05-12T00:00:00"/>
    <x v="0"/>
    <n v="10"/>
    <x v="0"/>
    <s v="No"/>
    <s v="-"/>
    <s v="Yes"/>
    <n v="20"/>
    <n v="10"/>
    <n v="20"/>
  </r>
  <r>
    <n v="3308"/>
    <s v="Quentin Ramos"/>
    <x v="1"/>
    <d v="2024-05-13T00:00:00"/>
    <x v="1"/>
    <n v="5"/>
    <x v="2"/>
    <s v="No"/>
    <s v="-"/>
    <s v="No"/>
    <n v="0"/>
    <n v="0"/>
    <n v="5"/>
  </r>
  <r>
    <n v="3309"/>
    <s v="Raquel Novaes"/>
    <x v="0"/>
    <d v="2024-05-14T00:00:00"/>
    <x v="0"/>
    <n v="15"/>
    <x v="0"/>
    <s v="Yes"/>
    <n v="30"/>
    <s v="Yes"/>
    <n v="20"/>
    <n v="3"/>
    <n v="62"/>
  </r>
  <r>
    <n v="3310"/>
    <s v="Samantha Lopes"/>
    <x v="2"/>
    <d v="2024-05-15T00:00:00"/>
    <x v="1"/>
    <n v="10"/>
    <x v="1"/>
    <s v="No"/>
    <s v="-"/>
    <s v="Yes"/>
    <n v="20"/>
    <n v="15"/>
    <n v="15"/>
  </r>
  <r>
    <n v="3311"/>
    <s v="Tiago Martins"/>
    <x v="1"/>
    <d v="2024-05-16T00:00:00"/>
    <x v="0"/>
    <n v="5"/>
    <x v="0"/>
    <s v="No"/>
    <s v="-"/>
    <s v="No"/>
    <n v="0"/>
    <n v="1"/>
    <n v="4"/>
  </r>
  <r>
    <n v="3312"/>
    <s v="Ulysses Guimarães"/>
    <x v="0"/>
    <d v="2024-05-17T00:00:00"/>
    <x v="1"/>
    <n v="15"/>
    <x v="2"/>
    <s v="Yes"/>
    <n v="30"/>
    <s v="Yes"/>
    <n v="20"/>
    <n v="7"/>
    <n v="58"/>
  </r>
  <r>
    <n v="3313"/>
    <s v="Vanessa Silva"/>
    <x v="2"/>
    <d v="2024-05-18T00:00:00"/>
    <x v="0"/>
    <n v="10"/>
    <x v="0"/>
    <s v="No"/>
    <s v="-"/>
    <s v="Yes"/>
    <n v="20"/>
    <n v="10"/>
    <n v="20"/>
  </r>
  <r>
    <n v="3314"/>
    <s v="William Carneiro"/>
    <x v="1"/>
    <d v="2024-05-19T00:00:00"/>
    <x v="1"/>
    <n v="5"/>
    <x v="1"/>
    <s v="No"/>
    <s v="-"/>
    <s v="No"/>
    <n v="0"/>
    <n v="0"/>
    <n v="5"/>
  </r>
  <r>
    <n v="3315"/>
    <s v="Ximena Rocha"/>
    <x v="0"/>
    <d v="2024-05-20T00:00:00"/>
    <x v="0"/>
    <n v="15"/>
    <x v="0"/>
    <s v="Yes"/>
    <n v="30"/>
    <s v="Yes"/>
    <n v="20"/>
    <n v="20"/>
    <n v="45"/>
  </r>
  <r>
    <n v="3316"/>
    <s v="Yasmin Figueiredo"/>
    <x v="2"/>
    <d v="2024-05-21T00:00:00"/>
    <x v="1"/>
    <n v="10"/>
    <x v="2"/>
    <s v="No"/>
    <s v="-"/>
    <s v="Yes"/>
    <n v="20"/>
    <n v="15"/>
    <n v="15"/>
  </r>
  <r>
    <n v="3317"/>
    <s v="Zara Cunha"/>
    <x v="1"/>
    <d v="2024-05-22T00:00:00"/>
    <x v="0"/>
    <n v="5"/>
    <x v="0"/>
    <s v="No"/>
    <s v="-"/>
    <s v="No"/>
    <n v="0"/>
    <n v="1"/>
    <n v="4"/>
  </r>
  <r>
    <n v="3318"/>
    <s v="Alan Teixeira"/>
    <x v="0"/>
    <d v="2024-05-23T00:00:00"/>
    <x v="1"/>
    <n v="15"/>
    <x v="1"/>
    <s v="Yes"/>
    <n v="30"/>
    <s v="Yes"/>
    <n v="20"/>
    <n v="3"/>
    <n v="62"/>
  </r>
  <r>
    <n v="3319"/>
    <s v="Bárbara Oliveira"/>
    <x v="2"/>
    <d v="2024-05-24T00:00:00"/>
    <x v="0"/>
    <n v="10"/>
    <x v="0"/>
    <s v="No"/>
    <s v="-"/>
    <s v="Yes"/>
    <n v="20"/>
    <n v="10"/>
    <n v="20"/>
  </r>
  <r>
    <n v="3320"/>
    <s v="Carlos Junqueira"/>
    <x v="1"/>
    <d v="2024-05-25T00:00:00"/>
    <x v="1"/>
    <n v="5"/>
    <x v="2"/>
    <s v="No"/>
    <s v="-"/>
    <s v="No"/>
    <n v="0"/>
    <n v="0"/>
    <n v="5"/>
  </r>
  <r>
    <n v="3321"/>
    <s v="Daniela Moura"/>
    <x v="0"/>
    <d v="2024-05-26T00:00:00"/>
    <x v="0"/>
    <n v="15"/>
    <x v="0"/>
    <s v="Yes"/>
    <n v="30"/>
    <s v="Yes"/>
    <n v="20"/>
    <n v="5"/>
    <n v="60"/>
  </r>
  <r>
    <n v="3322"/>
    <s v="Eduardo Lima"/>
    <x v="2"/>
    <d v="2024-05-27T00:00:00"/>
    <x v="1"/>
    <n v="10"/>
    <x v="1"/>
    <s v="No"/>
    <s v="-"/>
    <s v="Yes"/>
    <n v="20"/>
    <n v="15"/>
    <n v="15"/>
  </r>
  <r>
    <n v="3323"/>
    <s v="Fabiana Araújo"/>
    <x v="1"/>
    <d v="2024-05-28T00:00:00"/>
    <x v="0"/>
    <n v="5"/>
    <x v="0"/>
    <s v="No"/>
    <s v="-"/>
    <s v="No"/>
    <n v="0"/>
    <n v="1"/>
    <n v="4"/>
  </r>
  <r>
    <n v="3324"/>
    <s v="Geraldo Ribeiro"/>
    <x v="0"/>
    <d v="2024-05-29T00:00:00"/>
    <x v="1"/>
    <n v="15"/>
    <x v="2"/>
    <s v="Yes"/>
    <n v="30"/>
    <s v="Yes"/>
    <n v="20"/>
    <n v="20"/>
    <n v="45"/>
  </r>
  <r>
    <n v="3325"/>
    <s v="Héctor Vargas"/>
    <x v="2"/>
    <d v="2024-05-30T00:00:00"/>
    <x v="0"/>
    <n v="10"/>
    <x v="2"/>
    <s v="No"/>
    <s v="-"/>
    <s v="Yes"/>
    <n v="20"/>
    <n v="15"/>
    <n v="15"/>
  </r>
  <r>
    <n v="3326"/>
    <s v="Isabela Fonseca"/>
    <x v="1"/>
    <d v="2024-05-31T00:00:00"/>
    <x v="1"/>
    <n v="5"/>
    <x v="1"/>
    <s v="No"/>
    <s v="-"/>
    <s v="No"/>
    <n v="0"/>
    <n v="0"/>
    <n v="5"/>
  </r>
  <r>
    <n v="3327"/>
    <s v="João Pedro Almeida"/>
    <x v="0"/>
    <d v="2024-06-01T00:00:00"/>
    <x v="0"/>
    <n v="15"/>
    <x v="0"/>
    <s v="Yes"/>
    <n v="30"/>
    <s v="Yes"/>
    <n v="20"/>
    <n v="7"/>
    <n v="58"/>
  </r>
  <r>
    <n v="3328"/>
    <s v="Klara Costa"/>
    <x v="2"/>
    <d v="2024-06-02T00:00:00"/>
    <x v="1"/>
    <n v="10"/>
    <x v="1"/>
    <s v="No"/>
    <s v="-"/>
    <s v="Yes"/>
    <n v="20"/>
    <n v="10"/>
    <n v="20"/>
  </r>
  <r>
    <n v="3329"/>
    <s v="Luciana Mendes"/>
    <x v="1"/>
    <d v="2024-06-03T00:00:00"/>
    <x v="0"/>
    <n v="5"/>
    <x v="2"/>
    <s v="No"/>
    <s v="-"/>
    <s v="No"/>
    <n v="0"/>
    <n v="1"/>
    <n v="4"/>
  </r>
  <r>
    <n v="3330"/>
    <s v="Marcelo Gouveia"/>
    <x v="0"/>
    <d v="2024-06-04T00:00:00"/>
    <x v="1"/>
    <n v="15"/>
    <x v="0"/>
    <s v="Yes"/>
    <n v="30"/>
    <s v="Yes"/>
    <n v="20"/>
    <n v="15"/>
    <n v="50"/>
  </r>
  <r>
    <n v="3331"/>
    <s v="Nívea Borges"/>
    <x v="2"/>
    <d v="2024-06-05T00:00:00"/>
    <x v="0"/>
    <n v="10"/>
    <x v="0"/>
    <s v="No"/>
    <s v="-"/>
    <s v="Yes"/>
    <n v="20"/>
    <n v="5"/>
    <n v="25"/>
  </r>
  <r>
    <n v="3332"/>
    <s v="Oscar Nogueira"/>
    <x v="1"/>
    <d v="2024-06-06T00:00:00"/>
    <x v="1"/>
    <n v="5"/>
    <x v="1"/>
    <s v="No"/>
    <s v="-"/>
    <s v="No"/>
    <n v="0"/>
    <n v="0"/>
    <n v="5"/>
  </r>
  <r>
    <n v="3333"/>
    <s v="Patrícia Alves"/>
    <x v="0"/>
    <d v="2024-06-07T00:00:00"/>
    <x v="0"/>
    <n v="15"/>
    <x v="2"/>
    <s v="Yes"/>
    <n v="30"/>
    <s v="Yes"/>
    <n v="20"/>
    <n v="20"/>
    <n v="45"/>
  </r>
  <r>
    <n v="3334"/>
    <s v="Rafaela Silva"/>
    <x v="2"/>
    <d v="2024-06-08T00:00:00"/>
    <x v="1"/>
    <n v="10"/>
    <x v="2"/>
    <s v="No"/>
    <s v="-"/>
    <s v="Yes"/>
    <n v="20"/>
    <n v="12"/>
    <n v="18"/>
  </r>
  <r>
    <n v="3335"/>
    <s v="Samantha Moraes"/>
    <x v="1"/>
    <d v="2024-06-09T00:00:00"/>
    <x v="0"/>
    <n v="5"/>
    <x v="0"/>
    <s v="No"/>
    <s v="-"/>
    <s v="No"/>
    <n v="0"/>
    <n v="2"/>
    <n v="3"/>
  </r>
  <r>
    <n v="3336"/>
    <s v="Tatiana Rocha"/>
    <x v="1"/>
    <d v="2024-06-10T00:00:00"/>
    <x v="0"/>
    <n v="5"/>
    <x v="0"/>
    <s v="No"/>
    <s v="-"/>
    <s v="No"/>
    <n v="0"/>
    <n v="0"/>
    <n v="5"/>
  </r>
  <r>
    <n v="3337"/>
    <s v="Ulisses Tavares"/>
    <x v="0"/>
    <d v="2024-06-11T00:00:00"/>
    <x v="1"/>
    <n v="15"/>
    <x v="2"/>
    <s v="Yes"/>
    <n v="30"/>
    <s v="Yes"/>
    <n v="20"/>
    <n v="7"/>
    <n v="58"/>
  </r>
  <r>
    <n v="3338"/>
    <s v="Víctor Lemos"/>
    <x v="2"/>
    <d v="2024-06-12T00:00:00"/>
    <x v="0"/>
    <n v="10"/>
    <x v="1"/>
    <s v="No"/>
    <s v="-"/>
    <s v="Yes"/>
    <n v="20"/>
    <n v="10"/>
    <n v="20"/>
  </r>
  <r>
    <n v="3339"/>
    <s v="Wilma Barros"/>
    <x v="1"/>
    <d v="2024-06-13T00:00:00"/>
    <x v="1"/>
    <n v="5"/>
    <x v="2"/>
    <s v="No"/>
    <s v="-"/>
    <s v="No"/>
    <n v="0"/>
    <n v="1"/>
    <n v="4"/>
  </r>
  <r>
    <n v="3340"/>
    <s v="Xavier Nascimento"/>
    <x v="0"/>
    <d v="2024-06-14T00:00:00"/>
    <x v="0"/>
    <n v="15"/>
    <x v="0"/>
    <s v="Yes"/>
    <n v="30"/>
    <s v="Yes"/>
    <n v="20"/>
    <n v="15"/>
    <n v="50"/>
  </r>
  <r>
    <n v="3341"/>
    <s v="Yago Pereira"/>
    <x v="2"/>
    <d v="2024-06-15T00:00:00"/>
    <x v="1"/>
    <n v="10"/>
    <x v="0"/>
    <s v="No"/>
    <s v="-"/>
    <s v="Yes"/>
    <n v="20"/>
    <n v="5"/>
    <n v="25"/>
  </r>
  <r>
    <n v="3342"/>
    <s v="Zilda Ferreira"/>
    <x v="1"/>
    <d v="2024-06-16T00:00:00"/>
    <x v="0"/>
    <n v="5"/>
    <x v="1"/>
    <s v="No"/>
    <s v="-"/>
    <s v="No"/>
    <n v="0"/>
    <n v="0"/>
    <n v="5"/>
  </r>
  <r>
    <n v="3343"/>
    <s v="Amanda Lopes"/>
    <x v="0"/>
    <d v="2024-06-17T00:00:00"/>
    <x v="1"/>
    <n v="15"/>
    <x v="2"/>
    <s v="Yes"/>
    <n v="30"/>
    <s v="Yes"/>
    <n v="20"/>
    <n v="20"/>
    <n v="45"/>
  </r>
  <r>
    <n v="3344"/>
    <s v="Bruno Miranda"/>
    <x v="2"/>
    <d v="2024-06-18T00:00:00"/>
    <x v="0"/>
    <n v="10"/>
    <x v="2"/>
    <s v="No"/>
    <s v="-"/>
    <s v="Yes"/>
    <n v="20"/>
    <n v="12"/>
    <n v="18"/>
  </r>
  <r>
    <n v="3345"/>
    <s v="Célia Torres"/>
    <x v="1"/>
    <d v="2024-06-19T00:00:00"/>
    <x v="1"/>
    <n v="5"/>
    <x v="0"/>
    <s v="No"/>
    <s v="-"/>
    <s v="No"/>
    <n v="0"/>
    <n v="2"/>
    <n v="3"/>
  </r>
  <r>
    <n v="3346"/>
    <s v="Diogo Souza"/>
    <x v="0"/>
    <d v="2024-06-20T00:00:00"/>
    <x v="0"/>
    <n v="15"/>
    <x v="1"/>
    <s v="Yes"/>
    <n v="30"/>
    <s v="Yes"/>
    <n v="20"/>
    <n v="5"/>
    <n v="60"/>
  </r>
  <r>
    <n v="3347"/>
    <s v="Elisa Castro"/>
    <x v="2"/>
    <d v="2024-06-21T00:00:00"/>
    <x v="1"/>
    <n v="10"/>
    <x v="0"/>
    <s v="No"/>
    <s v="-"/>
    <s v="Yes"/>
    <n v="20"/>
    <n v="10"/>
    <n v="20"/>
  </r>
  <r>
    <n v="3348"/>
    <s v="Fátima Lima"/>
    <x v="1"/>
    <d v="2024-06-22T00:00:00"/>
    <x v="0"/>
    <n v="5"/>
    <x v="2"/>
    <s v="No"/>
    <s v="-"/>
    <s v="No"/>
    <n v="0"/>
    <n v="0"/>
    <n v="5"/>
  </r>
  <r>
    <n v="3349"/>
    <s v="Geraldo Ribeiro"/>
    <x v="0"/>
    <d v="2024-06-23T00:00:00"/>
    <x v="1"/>
    <n v="15"/>
    <x v="0"/>
    <s v="Yes"/>
    <n v="30"/>
    <s v="Yes"/>
    <n v="20"/>
    <n v="3"/>
    <n v="62"/>
  </r>
  <r>
    <n v="3350"/>
    <s v="Hélio Martins"/>
    <x v="2"/>
    <d v="2024-06-24T00:00:00"/>
    <x v="0"/>
    <n v="10"/>
    <x v="1"/>
    <s v="No"/>
    <s v="-"/>
    <s v="Yes"/>
    <n v="20"/>
    <n v="15"/>
    <n v="15"/>
  </r>
  <r>
    <n v="3351"/>
    <s v="Íris Santos"/>
    <x v="1"/>
    <d v="2024-06-25T00:00:00"/>
    <x v="1"/>
    <n v="5"/>
    <x v="0"/>
    <s v="No"/>
    <s v="-"/>
    <s v="No"/>
    <n v="0"/>
    <n v="1"/>
    <n v="4"/>
  </r>
  <r>
    <n v="3352"/>
    <s v="João Marcelo"/>
    <x v="0"/>
    <d v="2024-06-26T00:00:00"/>
    <x v="0"/>
    <n v="15"/>
    <x v="2"/>
    <s v="Yes"/>
    <n v="30"/>
    <s v="Yes"/>
    <n v="20"/>
    <n v="7"/>
    <n v="58"/>
  </r>
  <r>
    <n v="3353"/>
    <s v="Larissa Gomes"/>
    <x v="2"/>
    <d v="2024-06-27T00:00:00"/>
    <x v="1"/>
    <n v="10"/>
    <x v="0"/>
    <s v="No"/>
    <s v="-"/>
    <s v="Yes"/>
    <n v="20"/>
    <n v="10"/>
    <n v="20"/>
  </r>
  <r>
    <n v="3354"/>
    <s v="Márcio Silva"/>
    <x v="1"/>
    <d v="2024-06-28T00:00:00"/>
    <x v="0"/>
    <n v="5"/>
    <x v="1"/>
    <s v="No"/>
    <s v="-"/>
    <s v="No"/>
    <n v="0"/>
    <n v="0"/>
    <n v="5"/>
  </r>
  <r>
    <n v="3355"/>
    <s v="Nadia Costa"/>
    <x v="0"/>
    <d v="2024-06-29T00:00:00"/>
    <x v="1"/>
    <n v="15"/>
    <x v="0"/>
    <s v="Yes"/>
    <n v="30"/>
    <s v="Yes"/>
    <n v="20"/>
    <n v="20"/>
    <n v="45"/>
  </r>
  <r>
    <n v="3356"/>
    <s v="Oscar Almeida"/>
    <x v="2"/>
    <d v="2024-06-30T00:00:00"/>
    <x v="0"/>
    <n v="10"/>
    <x v="2"/>
    <s v="No"/>
    <s v="-"/>
    <s v="Yes"/>
    <n v="20"/>
    <n v="15"/>
    <n v="15"/>
  </r>
  <r>
    <n v="3357"/>
    <s v="Patricia Soares"/>
    <x v="1"/>
    <d v="2024-07-01T00:00:00"/>
    <x v="1"/>
    <n v="5"/>
    <x v="0"/>
    <s v="No"/>
    <s v="-"/>
    <s v="No"/>
    <n v="0"/>
    <n v="1"/>
    <n v="4"/>
  </r>
  <r>
    <n v="3358"/>
    <s v="Quênia Barros"/>
    <x v="0"/>
    <d v="2024-07-02T00:00:00"/>
    <x v="0"/>
    <n v="15"/>
    <x v="1"/>
    <s v="Yes"/>
    <n v="30"/>
    <s v="Yes"/>
    <n v="20"/>
    <n v="3"/>
    <n v="62"/>
  </r>
  <r>
    <n v="3359"/>
    <s v="Rafael Torres"/>
    <x v="2"/>
    <d v="2024-07-03T00:00:00"/>
    <x v="1"/>
    <n v="10"/>
    <x v="0"/>
    <s v="No"/>
    <s v="-"/>
    <s v="Yes"/>
    <n v="20"/>
    <n v="10"/>
    <n v="20"/>
  </r>
  <r>
    <n v="3360"/>
    <s v="Silvia Nascimento"/>
    <x v="1"/>
    <d v="2024-07-04T00:00:00"/>
    <x v="0"/>
    <n v="5"/>
    <x v="2"/>
    <s v="No"/>
    <s v="-"/>
    <s v="No"/>
    <n v="0"/>
    <n v="0"/>
    <n v="5"/>
  </r>
  <r>
    <n v="3361"/>
    <s v="Tiago Mendes"/>
    <x v="0"/>
    <d v="2024-07-05T00:00:00"/>
    <x v="1"/>
    <n v="15"/>
    <x v="0"/>
    <s v="Yes"/>
    <n v="30"/>
    <s v="Yes"/>
    <n v="20"/>
    <n v="15"/>
    <n v="50"/>
  </r>
  <r>
    <n v="3362"/>
    <s v="Ursula Silva"/>
    <x v="2"/>
    <d v="2024-07-06T00:00:00"/>
    <x v="0"/>
    <n v="10"/>
    <x v="1"/>
    <s v="No"/>
    <s v="-"/>
    <s v="Yes"/>
    <n v="20"/>
    <n v="15"/>
    <n v="15"/>
  </r>
  <r>
    <n v="3363"/>
    <s v="Vanessa Moraes"/>
    <x v="1"/>
    <d v="2024-07-07T00:00:00"/>
    <x v="1"/>
    <n v="5"/>
    <x v="0"/>
    <s v="No"/>
    <s v="-"/>
    <s v="No"/>
    <n v="0"/>
    <n v="1"/>
    <n v="4"/>
  </r>
  <r>
    <n v="3364"/>
    <s v="Waldir Junior"/>
    <x v="0"/>
    <d v="2024-07-08T00:00:00"/>
    <x v="0"/>
    <n v="15"/>
    <x v="2"/>
    <s v="Yes"/>
    <n v="30"/>
    <s v="Yes"/>
    <n v="20"/>
    <n v="7"/>
    <n v="58"/>
  </r>
  <r>
    <n v="3365"/>
    <s v="Xavier Lopes"/>
    <x v="2"/>
    <d v="2024-07-09T00:00:00"/>
    <x v="1"/>
    <n v="10"/>
    <x v="0"/>
    <s v="No"/>
    <s v="-"/>
    <s v="Yes"/>
    <n v="20"/>
    <n v="10"/>
    <n v="20"/>
  </r>
  <r>
    <n v="3366"/>
    <s v="Yolanda Freitas"/>
    <x v="1"/>
    <d v="2024-07-10T00:00:00"/>
    <x v="0"/>
    <n v="5"/>
    <x v="0"/>
    <s v="No"/>
    <s v="-"/>
    <s v="No"/>
    <n v="0"/>
    <n v="0"/>
    <n v="5"/>
  </r>
  <r>
    <n v="3367"/>
    <s v="Zacarias Nunes"/>
    <x v="0"/>
    <d v="2024-07-11T00:00:00"/>
    <x v="1"/>
    <n v="15"/>
    <x v="2"/>
    <s v="Yes"/>
    <n v="30"/>
    <s v="Yes"/>
    <n v="20"/>
    <n v="7"/>
    <n v="58"/>
  </r>
  <r>
    <n v="3368"/>
    <s v="Ana Clara Barreto"/>
    <x v="2"/>
    <d v="2024-07-12T00:00:00"/>
    <x v="0"/>
    <n v="10"/>
    <x v="1"/>
    <s v="No"/>
    <s v="-"/>
    <s v="Yes"/>
    <n v="20"/>
    <n v="10"/>
    <n v="20"/>
  </r>
  <r>
    <n v="3369"/>
    <s v="Bruno Henrique"/>
    <x v="1"/>
    <d v="2024-07-13T00:00:00"/>
    <x v="1"/>
    <n v="5"/>
    <x v="2"/>
    <s v="No"/>
    <s v="-"/>
    <s v="No"/>
    <n v="0"/>
    <n v="1"/>
    <n v="4"/>
  </r>
  <r>
    <n v="3370"/>
    <s v="Carlos Eduardo"/>
    <x v="0"/>
    <d v="2024-07-14T00:00:00"/>
    <x v="0"/>
    <n v="15"/>
    <x v="0"/>
    <s v="Yes"/>
    <n v="30"/>
    <s v="Yes"/>
    <n v="20"/>
    <n v="15"/>
    <n v="50"/>
  </r>
  <r>
    <n v="3371"/>
    <s v="Débora Lima"/>
    <x v="2"/>
    <d v="2024-07-15T00:00:00"/>
    <x v="1"/>
    <n v="10"/>
    <x v="0"/>
    <s v="No"/>
    <s v="-"/>
    <s v="Yes"/>
    <n v="20"/>
    <n v="5"/>
    <n v="25"/>
  </r>
  <r>
    <n v="3372"/>
    <s v="Elisa Neves"/>
    <x v="1"/>
    <d v="2024-07-16T00:00:00"/>
    <x v="0"/>
    <n v="5"/>
    <x v="1"/>
    <s v="No"/>
    <s v="-"/>
    <s v="No"/>
    <n v="0"/>
    <n v="0"/>
    <n v="5"/>
  </r>
  <r>
    <n v="3373"/>
    <s v="Fabiano Gomes"/>
    <x v="0"/>
    <d v="2024-07-17T00:00:00"/>
    <x v="1"/>
    <n v="15"/>
    <x v="2"/>
    <s v="Yes"/>
    <n v="30"/>
    <s v="Yes"/>
    <n v="20"/>
    <n v="20"/>
    <n v="45"/>
  </r>
  <r>
    <n v="3374"/>
    <s v="Gisele Oliveira"/>
    <x v="2"/>
    <d v="2024-07-18T00:00:00"/>
    <x v="0"/>
    <n v="10"/>
    <x v="2"/>
    <s v="No"/>
    <s v="-"/>
    <s v="Yes"/>
    <n v="20"/>
    <n v="12"/>
    <n v="18"/>
  </r>
  <r>
    <n v="3375"/>
    <s v="Héctor Silva"/>
    <x v="1"/>
    <d v="2024-07-19T00:00:00"/>
    <x v="1"/>
    <n v="5"/>
    <x v="0"/>
    <s v="No"/>
    <s v="-"/>
    <s v="No"/>
    <n v="0"/>
    <n v="2"/>
    <n v="3"/>
  </r>
  <r>
    <n v="3376"/>
    <s v="Igor Martins"/>
    <x v="0"/>
    <d v="2024-07-20T00:00:00"/>
    <x v="0"/>
    <n v="15"/>
    <x v="1"/>
    <s v="Yes"/>
    <n v="30"/>
    <s v="Yes"/>
    <n v="20"/>
    <n v="5"/>
    <n v="60"/>
  </r>
  <r>
    <n v="3377"/>
    <s v="Joana Figueiredo"/>
    <x v="2"/>
    <d v="2024-07-21T00:00:00"/>
    <x v="1"/>
    <n v="10"/>
    <x v="0"/>
    <s v="No"/>
    <s v="-"/>
    <s v="Yes"/>
    <n v="20"/>
    <n v="10"/>
    <n v="20"/>
  </r>
  <r>
    <n v="3378"/>
    <s v="Kleber Machado"/>
    <x v="1"/>
    <d v="2024-07-22T00:00:00"/>
    <x v="0"/>
    <n v="5"/>
    <x v="2"/>
    <s v="No"/>
    <s v="-"/>
    <s v="No"/>
    <n v="0"/>
    <n v="0"/>
    <n v="5"/>
  </r>
  <r>
    <n v="3379"/>
    <s v="Luciana Santos"/>
    <x v="0"/>
    <d v="2024-07-23T00:00:00"/>
    <x v="1"/>
    <n v="15"/>
    <x v="0"/>
    <s v="Yes"/>
    <n v="30"/>
    <s v="Yes"/>
    <n v="20"/>
    <n v="3"/>
    <n v="62"/>
  </r>
  <r>
    <n v="3380"/>
    <s v="Marcos Teixeira"/>
    <x v="2"/>
    <d v="2024-07-24T00:00:00"/>
    <x v="0"/>
    <n v="10"/>
    <x v="1"/>
    <s v="No"/>
    <s v="-"/>
    <s v="Yes"/>
    <n v="20"/>
    <n v="15"/>
    <n v="15"/>
  </r>
  <r>
    <n v="3381"/>
    <s v="Natalia Costa"/>
    <x v="1"/>
    <d v="2024-07-25T00:00:00"/>
    <x v="1"/>
    <n v="5"/>
    <x v="0"/>
    <s v="No"/>
    <s v="-"/>
    <s v="No"/>
    <n v="0"/>
    <n v="1"/>
    <n v="4"/>
  </r>
  <r>
    <n v="3382"/>
    <s v="Oscar Ribeiro"/>
    <x v="0"/>
    <d v="2024-07-26T00:00:00"/>
    <x v="0"/>
    <n v="15"/>
    <x v="2"/>
    <s v="Yes"/>
    <n v="30"/>
    <s v="Yes"/>
    <n v="20"/>
    <n v="7"/>
    <n v="58"/>
  </r>
  <r>
    <n v="3383"/>
    <s v="Patricia Almeida"/>
    <x v="2"/>
    <d v="2024-07-27T00:00:00"/>
    <x v="1"/>
    <n v="10"/>
    <x v="0"/>
    <s v="No"/>
    <s v="-"/>
    <s v="Yes"/>
    <n v="20"/>
    <n v="10"/>
    <n v="20"/>
  </r>
  <r>
    <n v="3384"/>
    <s v="Quirino Junior"/>
    <x v="1"/>
    <d v="2024-07-28T00:00:00"/>
    <x v="0"/>
    <n v="5"/>
    <x v="1"/>
    <s v="No"/>
    <s v="-"/>
    <s v="No"/>
    <n v="0"/>
    <n v="0"/>
    <n v="5"/>
  </r>
  <r>
    <n v="3385"/>
    <s v="Renata Machado"/>
    <x v="0"/>
    <d v="2024-07-29T00:00:00"/>
    <x v="1"/>
    <n v="15"/>
    <x v="0"/>
    <s v="Yes"/>
    <n v="30"/>
    <s v="Yes"/>
    <n v="20"/>
    <n v="20"/>
    <n v="45"/>
  </r>
  <r>
    <n v="3386"/>
    <s v="Sônia Alves"/>
    <x v="2"/>
    <d v="2024-07-30T00:00:00"/>
    <x v="0"/>
    <n v="10"/>
    <x v="2"/>
    <s v="No"/>
    <s v="-"/>
    <s v="Yes"/>
    <n v="20"/>
    <n v="15"/>
    <n v="15"/>
  </r>
  <r>
    <n v="3387"/>
    <s v="Tiago Nunes"/>
    <x v="1"/>
    <d v="2024-07-31T00:00:00"/>
    <x v="1"/>
    <n v="5"/>
    <x v="0"/>
    <s v="No"/>
    <s v="-"/>
    <s v="No"/>
    <n v="0"/>
    <n v="1"/>
    <n v="4"/>
  </r>
  <r>
    <n v="3388"/>
    <s v="Ulysses Pereira"/>
    <x v="0"/>
    <d v="2024-08-01T00:00:00"/>
    <x v="0"/>
    <n v="15"/>
    <x v="1"/>
    <s v="Yes"/>
    <n v="30"/>
    <s v="Yes"/>
    <n v="20"/>
    <n v="3"/>
    <n v="62"/>
  </r>
  <r>
    <n v="3389"/>
    <s v="Vanessa Lima"/>
    <x v="2"/>
    <d v="2024-08-02T00:00:00"/>
    <x v="1"/>
    <n v="10"/>
    <x v="0"/>
    <s v="No"/>
    <s v="-"/>
    <s v="Yes"/>
    <n v="20"/>
    <n v="10"/>
    <n v="20"/>
  </r>
  <r>
    <n v="3390"/>
    <s v="Wagner Santos"/>
    <x v="1"/>
    <d v="2024-08-03T00:00:00"/>
    <x v="0"/>
    <n v="5"/>
    <x v="2"/>
    <s v="No"/>
    <s v="-"/>
    <s v="No"/>
    <n v="0"/>
    <n v="0"/>
    <n v="5"/>
  </r>
  <r>
    <n v="3391"/>
    <s v="Xuxa Meneghel"/>
    <x v="0"/>
    <d v="2024-08-04T00:00:00"/>
    <x v="1"/>
    <n v="15"/>
    <x v="0"/>
    <s v="Yes"/>
    <n v="30"/>
    <s v="Yes"/>
    <n v="20"/>
    <n v="15"/>
    <n v="50"/>
  </r>
  <r>
    <n v="3392"/>
    <s v="Yasmin Silva"/>
    <x v="2"/>
    <d v="2024-08-05T00:00:00"/>
    <x v="0"/>
    <n v="10"/>
    <x v="1"/>
    <s v="No"/>
    <s v="-"/>
    <s v="Yes"/>
    <n v="20"/>
    <n v="15"/>
    <n v="15"/>
  </r>
  <r>
    <n v="3393"/>
    <s v="Zacarias de Souza"/>
    <x v="1"/>
    <d v="2024-08-06T00:00:00"/>
    <x v="1"/>
    <n v="5"/>
    <x v="0"/>
    <s v="No"/>
    <s v="-"/>
    <s v="No"/>
    <n v="0"/>
    <n v="1"/>
    <n v="4"/>
  </r>
  <r>
    <n v="3394"/>
    <s v="André Lima"/>
    <x v="0"/>
    <d v="2024-08-07T00:00:00"/>
    <x v="0"/>
    <n v="15"/>
    <x v="2"/>
    <s v="Yes"/>
    <n v="30"/>
    <s v="Yes"/>
    <n v="20"/>
    <n v="7"/>
    <n v="58"/>
  </r>
  <r>
    <n v="3395"/>
    <s v="Bianca Freitas"/>
    <x v="2"/>
    <d v="2024-08-08T00:00:00"/>
    <x v="1"/>
    <n v="10"/>
    <x v="0"/>
    <s v="No"/>
    <s v="-"/>
    <s v="Yes"/>
    <n v="20"/>
    <n v="10"/>
    <n v="20"/>
  </r>
  <r>
    <n v="3396"/>
    <s v="Caio Mendes"/>
    <x v="1"/>
    <d v="2024-08-09T00:00:00"/>
    <x v="0"/>
    <n v="5"/>
    <x v="1"/>
    <s v="No"/>
    <s v="-"/>
    <s v="No"/>
    <n v="0"/>
    <n v="0"/>
    <n v="5"/>
  </r>
  <r>
    <n v="3397"/>
    <s v="Daniela Moura"/>
    <x v="0"/>
    <d v="2024-08-10T00:00:00"/>
    <x v="1"/>
    <n v="15"/>
    <x v="0"/>
    <s v="Yes"/>
    <n v="30"/>
    <s v="Yes"/>
    <n v="20"/>
    <n v="20"/>
    <n v="45"/>
  </r>
  <r>
    <n v="3398"/>
    <s v="Eduardo Costa"/>
    <x v="2"/>
    <d v="2024-08-11T00:00:00"/>
    <x v="0"/>
    <n v="10"/>
    <x v="2"/>
    <s v="No"/>
    <s v="-"/>
    <s v="Yes"/>
    <n v="20"/>
    <n v="15"/>
    <n v="15"/>
  </r>
  <r>
    <n v="3399"/>
    <s v="Fernanda Gomes"/>
    <x v="1"/>
    <d v="2024-08-12T00:00:00"/>
    <x v="1"/>
    <n v="5"/>
    <x v="0"/>
    <s v="No"/>
    <s v="-"/>
    <s v="No"/>
    <n v="0"/>
    <n v="1"/>
    <n v="4"/>
  </r>
  <r>
    <n v="3400"/>
    <s v="Guilherme Souza"/>
    <x v="0"/>
    <d v="2024-08-13T00:00:00"/>
    <x v="0"/>
    <n v="15"/>
    <x v="1"/>
    <s v="Yes"/>
    <n v="30"/>
    <s v="Yes"/>
    <n v="20"/>
    <n v="5"/>
    <n v="60"/>
  </r>
  <r>
    <n v="3401"/>
    <s v="Helena Ribeiro"/>
    <x v="2"/>
    <d v="2024-08-14T00:00:00"/>
    <x v="1"/>
    <n v="10"/>
    <x v="0"/>
    <s v="No"/>
    <s v="-"/>
    <s v="Yes"/>
    <n v="20"/>
    <n v="10"/>
    <n v="20"/>
  </r>
  <r>
    <n v="3402"/>
    <s v="Igor Santos"/>
    <x v="1"/>
    <d v="2024-08-15T00:00:00"/>
    <x v="0"/>
    <n v="5"/>
    <x v="2"/>
    <s v="No"/>
    <s v="-"/>
    <s v="No"/>
    <n v="0"/>
    <n v="0"/>
    <n v="5"/>
  </r>
  <r>
    <n v="3403"/>
    <s v="João Carvalho"/>
    <x v="0"/>
    <d v="2024-08-16T00:00:00"/>
    <x v="1"/>
    <n v="15"/>
    <x v="0"/>
    <s v="Yes"/>
    <n v="30"/>
    <s v="Yes"/>
    <n v="20"/>
    <n v="3"/>
    <n v="62"/>
  </r>
  <r>
    <n v="3404"/>
    <s v="Klara Fagundes"/>
    <x v="2"/>
    <d v="2024-08-17T00:00:00"/>
    <x v="0"/>
    <n v="10"/>
    <x v="1"/>
    <s v="No"/>
    <s v="-"/>
    <s v="Yes"/>
    <n v="20"/>
    <n v="15"/>
    <n v="15"/>
  </r>
  <r>
    <n v="3405"/>
    <s v="Lúcia Mendonça"/>
    <x v="1"/>
    <d v="2024-08-18T00:00:00"/>
    <x v="1"/>
    <n v="5"/>
    <x v="0"/>
    <s v="No"/>
    <s v="-"/>
    <s v="No"/>
    <n v="0"/>
    <n v="1"/>
    <n v="4"/>
  </r>
  <r>
    <n v="3406"/>
    <s v="Marcelo Novaes"/>
    <x v="1"/>
    <d v="2024-08-19T00:00:00"/>
    <x v="0"/>
    <n v="5"/>
    <x v="0"/>
    <s v="No"/>
    <s v="-"/>
    <s v="No"/>
    <n v="0"/>
    <n v="0"/>
    <n v="5"/>
  </r>
  <r>
    <n v="3407"/>
    <s v="Nina Pacheco"/>
    <x v="0"/>
    <d v="2024-08-20T00:00:00"/>
    <x v="1"/>
    <n v="15"/>
    <x v="2"/>
    <s v="Yes"/>
    <n v="30"/>
    <s v="Yes"/>
    <n v="20"/>
    <n v="7"/>
    <n v="58"/>
  </r>
  <r>
    <n v="3408"/>
    <s v="Olívia Rios"/>
    <x v="2"/>
    <d v="2024-08-21T00:00:00"/>
    <x v="0"/>
    <n v="10"/>
    <x v="1"/>
    <s v="No"/>
    <s v="-"/>
    <s v="Yes"/>
    <n v="20"/>
    <n v="10"/>
    <n v="20"/>
  </r>
  <r>
    <n v="3409"/>
    <s v="Paulo Quintana"/>
    <x v="1"/>
    <d v="2024-08-22T00:00:00"/>
    <x v="1"/>
    <n v="5"/>
    <x v="2"/>
    <s v="No"/>
    <s v="-"/>
    <s v="No"/>
    <n v="0"/>
    <n v="1"/>
    <n v="4"/>
  </r>
  <r>
    <n v="3410"/>
    <s v="Raquel Domingos"/>
    <x v="0"/>
    <d v="2024-08-23T00:00:00"/>
    <x v="0"/>
    <n v="15"/>
    <x v="0"/>
    <s v="Yes"/>
    <n v="30"/>
    <s v="Yes"/>
    <n v="20"/>
    <n v="15"/>
    <n v="50"/>
  </r>
  <r>
    <n v="3411"/>
    <s v="Samuel Viana"/>
    <x v="2"/>
    <d v="2024-08-24T00:00:00"/>
    <x v="1"/>
    <n v="10"/>
    <x v="0"/>
    <s v="No"/>
    <s v="-"/>
    <s v="Yes"/>
    <n v="20"/>
    <n v="5"/>
    <n v="25"/>
  </r>
  <r>
    <n v="3412"/>
    <s v="Tatiane Rocha"/>
    <x v="1"/>
    <d v="2024-08-25T00:00:00"/>
    <x v="0"/>
    <n v="5"/>
    <x v="1"/>
    <s v="No"/>
    <s v="-"/>
    <s v="No"/>
    <n v="0"/>
    <n v="0"/>
    <n v="5"/>
  </r>
  <r>
    <n v="3413"/>
    <s v="Ulysses Farias"/>
    <x v="0"/>
    <d v="2024-08-26T00:00:00"/>
    <x v="1"/>
    <n v="15"/>
    <x v="2"/>
    <s v="Yes"/>
    <n v="30"/>
    <s v="Yes"/>
    <n v="20"/>
    <n v="20"/>
    <n v="45"/>
  </r>
  <r>
    <n v="3414"/>
    <s v="Vanessa Moreira"/>
    <x v="2"/>
    <d v="2024-08-27T00:00:00"/>
    <x v="0"/>
    <n v="10"/>
    <x v="2"/>
    <s v="No"/>
    <s v="-"/>
    <s v="Yes"/>
    <n v="20"/>
    <n v="12"/>
    <n v="18"/>
  </r>
  <r>
    <n v="3415"/>
    <s v="William Carvalho"/>
    <x v="1"/>
    <d v="2024-08-28T00:00:00"/>
    <x v="1"/>
    <n v="5"/>
    <x v="0"/>
    <s v="No"/>
    <s v="-"/>
    <s v="No"/>
    <n v="0"/>
    <n v="2"/>
    <n v="3"/>
  </r>
  <r>
    <n v="3416"/>
    <s v="Ximena Barros"/>
    <x v="0"/>
    <d v="2024-08-29T00:00:00"/>
    <x v="0"/>
    <n v="15"/>
    <x v="1"/>
    <s v="Yes"/>
    <n v="30"/>
    <s v="Yes"/>
    <n v="20"/>
    <n v="5"/>
    <n v="60"/>
  </r>
  <r>
    <n v="3417"/>
    <s v="Yara Machado"/>
    <x v="2"/>
    <d v="2024-08-30T00:00:00"/>
    <x v="1"/>
    <n v="10"/>
    <x v="0"/>
    <s v="No"/>
    <s v="-"/>
    <s v="Yes"/>
    <n v="20"/>
    <n v="10"/>
    <n v="20"/>
  </r>
  <r>
    <n v="3418"/>
    <s v="Zacarias Costa"/>
    <x v="1"/>
    <d v="2024-08-31T00:00:00"/>
    <x v="0"/>
    <n v="5"/>
    <x v="2"/>
    <s v="No"/>
    <s v="-"/>
    <s v="No"/>
    <n v="0"/>
    <n v="0"/>
    <n v="5"/>
  </r>
  <r>
    <n v="3419"/>
    <s v="André Lopes"/>
    <x v="0"/>
    <d v="2024-09-01T00:00:00"/>
    <x v="1"/>
    <n v="15"/>
    <x v="0"/>
    <s v="Yes"/>
    <n v="30"/>
    <s v="Yes"/>
    <n v="20"/>
    <n v="3"/>
    <n v="62"/>
  </r>
  <r>
    <n v="3420"/>
    <s v="Beatriz Souza"/>
    <x v="2"/>
    <d v="2024-09-02T00:00:00"/>
    <x v="0"/>
    <n v="10"/>
    <x v="1"/>
    <s v="No"/>
    <s v="-"/>
    <s v="Yes"/>
    <n v="20"/>
    <n v="15"/>
    <n v="15"/>
  </r>
  <r>
    <n v="3421"/>
    <s v="Caio Pereira"/>
    <x v="1"/>
    <d v="2024-09-03T00:00:00"/>
    <x v="1"/>
    <n v="5"/>
    <x v="0"/>
    <s v="No"/>
    <s v="-"/>
    <s v="No"/>
    <n v="0"/>
    <n v="1"/>
    <n v="4"/>
  </r>
  <r>
    <n v="3422"/>
    <s v="Daniela Araújo"/>
    <x v="0"/>
    <d v="2024-09-04T00:00:00"/>
    <x v="0"/>
    <n v="15"/>
    <x v="2"/>
    <s v="Yes"/>
    <n v="30"/>
    <s v="Yes"/>
    <n v="20"/>
    <n v="7"/>
    <n v="58"/>
  </r>
  <r>
    <n v="3423"/>
    <s v="Eduardo Santos"/>
    <x v="2"/>
    <d v="2024-09-05T00:00:00"/>
    <x v="1"/>
    <n v="10"/>
    <x v="0"/>
    <s v="No"/>
    <s v="-"/>
    <s v="Yes"/>
    <n v="20"/>
    <n v="10"/>
    <n v="20"/>
  </r>
  <r>
    <n v="3424"/>
    <s v="Fernanda Lima"/>
    <x v="1"/>
    <d v="2024-09-06T00:00:00"/>
    <x v="0"/>
    <n v="5"/>
    <x v="1"/>
    <s v="No"/>
    <s v="-"/>
    <s v="No"/>
    <n v="0"/>
    <n v="0"/>
    <n v="5"/>
  </r>
  <r>
    <n v="3425"/>
    <s v="Gabriel Teixeira"/>
    <x v="0"/>
    <d v="2024-09-07T00:00:00"/>
    <x v="1"/>
    <n v="15"/>
    <x v="0"/>
    <s v="Yes"/>
    <n v="30"/>
    <s v="Yes"/>
    <n v="20"/>
    <n v="20"/>
    <n v="45"/>
  </r>
  <r>
    <n v="3426"/>
    <s v="Helena Ribeiro"/>
    <x v="2"/>
    <d v="2024-09-08T00:00:00"/>
    <x v="0"/>
    <n v="10"/>
    <x v="2"/>
    <s v="No"/>
    <s v="-"/>
    <s v="Yes"/>
    <n v="20"/>
    <n v="15"/>
    <n v="15"/>
  </r>
  <r>
    <n v="3427"/>
    <s v="Igor Mendes"/>
    <x v="1"/>
    <d v="2024-09-09T00:00:00"/>
    <x v="1"/>
    <n v="5"/>
    <x v="0"/>
    <s v="No"/>
    <s v="-"/>
    <s v="No"/>
    <n v="0"/>
    <n v="1"/>
    <n v="4"/>
  </r>
  <r>
    <n v="3428"/>
    <s v="Joana Silveira"/>
    <x v="0"/>
    <d v="2024-09-10T00:00:00"/>
    <x v="0"/>
    <n v="15"/>
    <x v="1"/>
    <s v="Yes"/>
    <n v="30"/>
    <s v="Yes"/>
    <n v="20"/>
    <n v="3"/>
    <n v="62"/>
  </r>
  <r>
    <n v="3429"/>
    <s v="Lucas Martins"/>
    <x v="2"/>
    <d v="2024-09-11T00:00:00"/>
    <x v="1"/>
    <n v="10"/>
    <x v="0"/>
    <s v="No"/>
    <s v="-"/>
    <s v="Yes"/>
    <n v="20"/>
    <n v="10"/>
    <n v="20"/>
  </r>
  <r>
    <n v="3430"/>
    <s v="Marcela Gouveia"/>
    <x v="1"/>
    <d v="2024-09-12T00:00:00"/>
    <x v="0"/>
    <n v="5"/>
    <x v="2"/>
    <s v="No"/>
    <s v="-"/>
    <s v="No"/>
    <n v="0"/>
    <n v="0"/>
    <n v="5"/>
  </r>
  <r>
    <n v="3431"/>
    <s v="Nicolas Borges"/>
    <x v="0"/>
    <d v="2024-09-13T00:00:00"/>
    <x v="1"/>
    <n v="15"/>
    <x v="0"/>
    <s v="Yes"/>
    <n v="30"/>
    <s v="Yes"/>
    <n v="20"/>
    <n v="15"/>
    <n v="50"/>
  </r>
  <r>
    <n v="3432"/>
    <s v="Olivia Freitas"/>
    <x v="2"/>
    <d v="2024-09-14T00:00:00"/>
    <x v="0"/>
    <n v="10"/>
    <x v="1"/>
    <s v="No"/>
    <s v="-"/>
    <s v="Yes"/>
    <n v="20"/>
    <n v="15"/>
    <n v="15"/>
  </r>
  <r>
    <n v="3433"/>
    <s v="Paulo Nogueira"/>
    <x v="1"/>
    <d v="2024-09-15T00:00:00"/>
    <x v="1"/>
    <n v="5"/>
    <x v="0"/>
    <s v="No"/>
    <s v="-"/>
    <s v="No"/>
    <n v="0"/>
    <n v="1"/>
    <n v="4"/>
  </r>
  <r>
    <n v="3434"/>
    <s v="Raquel Andrade"/>
    <x v="0"/>
    <d v="2024-09-16T00:00:00"/>
    <x v="0"/>
    <n v="15"/>
    <x v="2"/>
    <s v="Yes"/>
    <n v="30"/>
    <s v="Yes"/>
    <n v="20"/>
    <n v="7"/>
    <n v="58"/>
  </r>
  <r>
    <n v="3435"/>
    <s v="Sônia Carvalho"/>
    <x v="2"/>
    <d v="2024-09-17T00:00:00"/>
    <x v="1"/>
    <n v="10"/>
    <x v="0"/>
    <s v="No"/>
    <s v="-"/>
    <s v="Yes"/>
    <n v="20"/>
    <n v="10"/>
    <n v="20"/>
  </r>
  <r>
    <n v="3436"/>
    <s v="Tiago Rodrigues"/>
    <x v="1"/>
    <d v="2024-09-18T00:00:00"/>
    <x v="0"/>
    <n v="5"/>
    <x v="0"/>
    <s v="No"/>
    <s v="-"/>
    <s v="No"/>
    <n v="0"/>
    <n v="0"/>
    <n v="5"/>
  </r>
  <r>
    <n v="3437"/>
    <s v="Ursula Monteiro"/>
    <x v="0"/>
    <d v="2024-09-19T00:00:00"/>
    <x v="1"/>
    <n v="15"/>
    <x v="2"/>
    <s v="Yes"/>
    <n v="30"/>
    <s v="Yes"/>
    <n v="20"/>
    <n v="7"/>
    <n v="58"/>
  </r>
  <r>
    <n v="3438"/>
    <s v="Vanessa Pereira"/>
    <x v="2"/>
    <d v="2024-09-20T00:00:00"/>
    <x v="0"/>
    <n v="10"/>
    <x v="1"/>
    <s v="No"/>
    <s v="-"/>
    <s v="Yes"/>
    <n v="20"/>
    <n v="10"/>
    <n v="20"/>
  </r>
  <r>
    <n v="3439"/>
    <s v="Walter Silva"/>
    <x v="1"/>
    <d v="2024-09-21T00:00:00"/>
    <x v="1"/>
    <n v="5"/>
    <x v="2"/>
    <s v="No"/>
    <s v="-"/>
    <s v="No"/>
    <n v="0"/>
    <n v="1"/>
    <n v="4"/>
  </r>
  <r>
    <n v="3440"/>
    <s v="Xavier Almeida"/>
    <x v="0"/>
    <d v="2024-09-22T00:00:00"/>
    <x v="0"/>
    <n v="15"/>
    <x v="0"/>
    <s v="Yes"/>
    <n v="30"/>
    <s v="Yes"/>
    <n v="20"/>
    <n v="15"/>
    <n v="50"/>
  </r>
  <r>
    <n v="3441"/>
    <s v="Yasmine Correia"/>
    <x v="2"/>
    <d v="2024-09-23T00:00:00"/>
    <x v="1"/>
    <n v="10"/>
    <x v="0"/>
    <s v="No"/>
    <s v="-"/>
    <s v="Yes"/>
    <n v="20"/>
    <n v="5"/>
    <n v="25"/>
  </r>
  <r>
    <n v="3442"/>
    <s v="Zacarias Almeida"/>
    <x v="1"/>
    <d v="2024-09-24T00:00:00"/>
    <x v="0"/>
    <n v="5"/>
    <x v="1"/>
    <s v="No"/>
    <s v="-"/>
    <s v="No"/>
    <n v="0"/>
    <n v="0"/>
    <n v="5"/>
  </r>
  <r>
    <n v="3443"/>
    <s v="Amanda Costa"/>
    <x v="0"/>
    <d v="2024-09-25T00:00:00"/>
    <x v="1"/>
    <n v="15"/>
    <x v="2"/>
    <s v="Yes"/>
    <n v="30"/>
    <s v="Yes"/>
    <n v="20"/>
    <n v="20"/>
    <n v="45"/>
  </r>
  <r>
    <n v="3444"/>
    <s v="Bruno Ferreira"/>
    <x v="2"/>
    <d v="2024-09-26T00:00:00"/>
    <x v="0"/>
    <n v="10"/>
    <x v="2"/>
    <s v="No"/>
    <s v="-"/>
    <s v="Yes"/>
    <n v="20"/>
    <n v="12"/>
    <n v="18"/>
  </r>
  <r>
    <n v="3445"/>
    <s v="Carla Dias"/>
    <x v="1"/>
    <d v="2024-09-27T00:00:00"/>
    <x v="1"/>
    <n v="5"/>
    <x v="0"/>
    <s v="No"/>
    <s v="-"/>
    <s v="No"/>
    <n v="0"/>
    <n v="2"/>
    <n v="3"/>
  </r>
  <r>
    <n v="3446"/>
    <s v="Diogo Martins"/>
    <x v="0"/>
    <d v="2024-09-28T00:00:00"/>
    <x v="0"/>
    <n v="15"/>
    <x v="1"/>
    <s v="Yes"/>
    <n v="30"/>
    <s v="Yes"/>
    <n v="20"/>
    <n v="5"/>
    <n v="60"/>
  </r>
  <r>
    <n v="3447"/>
    <s v="Elisa Campos"/>
    <x v="2"/>
    <d v="2024-09-29T00:00:00"/>
    <x v="1"/>
    <n v="10"/>
    <x v="0"/>
    <s v="No"/>
    <s v="-"/>
    <s v="Yes"/>
    <n v="20"/>
    <n v="10"/>
    <n v="20"/>
  </r>
  <r>
    <n v="3448"/>
    <s v="Fabiana Lima"/>
    <x v="1"/>
    <d v="2024-09-30T00:00:00"/>
    <x v="0"/>
    <n v="5"/>
    <x v="2"/>
    <s v="No"/>
    <s v="-"/>
    <s v="No"/>
    <n v="0"/>
    <n v="0"/>
    <n v="5"/>
  </r>
  <r>
    <n v="3449"/>
    <s v="Gabriel Santos"/>
    <x v="0"/>
    <d v="2024-10-01T00:00:00"/>
    <x v="1"/>
    <n v="15"/>
    <x v="0"/>
    <s v="Yes"/>
    <n v="30"/>
    <s v="Yes"/>
    <n v="20"/>
    <n v="3"/>
    <n v="62"/>
  </r>
  <r>
    <n v="3450"/>
    <s v="Helena Ferreira"/>
    <x v="2"/>
    <d v="2024-10-02T00:00:00"/>
    <x v="0"/>
    <n v="10"/>
    <x v="1"/>
    <s v="No"/>
    <s v="-"/>
    <s v="Yes"/>
    <n v="20"/>
    <n v="15"/>
    <n v="15"/>
  </r>
  <r>
    <n v="3451"/>
    <s v="Ígor Nunes"/>
    <x v="1"/>
    <d v="2024-10-03T00:00:00"/>
    <x v="1"/>
    <n v="5"/>
    <x v="0"/>
    <s v="No"/>
    <s v="-"/>
    <s v="No"/>
    <n v="0"/>
    <n v="1"/>
    <n v="4"/>
  </r>
  <r>
    <n v="3452"/>
    <s v="Joana Silveira"/>
    <x v="0"/>
    <d v="2024-10-04T00:00:00"/>
    <x v="0"/>
    <n v="15"/>
    <x v="2"/>
    <s v="Yes"/>
    <n v="30"/>
    <s v="Yes"/>
    <n v="20"/>
    <n v="7"/>
    <n v="58"/>
  </r>
  <r>
    <n v="3453"/>
    <s v="Kléber Oliveira"/>
    <x v="2"/>
    <d v="2024-10-05T00:00:00"/>
    <x v="1"/>
    <n v="10"/>
    <x v="0"/>
    <s v="No"/>
    <s v="-"/>
    <s v="Yes"/>
    <n v="20"/>
    <n v="10"/>
    <n v="20"/>
  </r>
  <r>
    <n v="3454"/>
    <s v="Luciana Morais"/>
    <x v="1"/>
    <d v="2024-10-06T00:00:00"/>
    <x v="0"/>
    <n v="5"/>
    <x v="1"/>
    <s v="No"/>
    <s v="-"/>
    <s v="No"/>
    <n v="0"/>
    <n v="0"/>
    <n v="5"/>
  </r>
  <r>
    <n v="3455"/>
    <s v="Marcos Vinícius"/>
    <x v="0"/>
    <d v="2024-10-07T00:00:00"/>
    <x v="1"/>
    <n v="15"/>
    <x v="0"/>
    <s v="Yes"/>
    <n v="30"/>
    <s v="Yes"/>
    <n v="20"/>
    <n v="20"/>
    <n v="45"/>
  </r>
  <r>
    <n v="3456"/>
    <s v="Natália Barros"/>
    <x v="2"/>
    <d v="2024-10-08T00:00:00"/>
    <x v="0"/>
    <n v="10"/>
    <x v="2"/>
    <s v="No"/>
    <s v="-"/>
    <s v="Yes"/>
    <n v="20"/>
    <n v="15"/>
    <n v="15"/>
  </r>
  <r>
    <n v="3457"/>
    <s v="Oscar Sampaio"/>
    <x v="1"/>
    <d v="2024-10-09T00:00:00"/>
    <x v="1"/>
    <n v="5"/>
    <x v="0"/>
    <s v="No"/>
    <s v="-"/>
    <s v="No"/>
    <n v="0"/>
    <n v="1"/>
    <n v="4"/>
  </r>
  <r>
    <n v="3458"/>
    <s v="Patrícia Leite"/>
    <x v="0"/>
    <d v="2024-10-10T00:00:00"/>
    <x v="0"/>
    <n v="15"/>
    <x v="1"/>
    <s v="Yes"/>
    <n v="30"/>
    <s v="Yes"/>
    <n v="20"/>
    <n v="3"/>
    <n v="62"/>
  </r>
  <r>
    <n v="3459"/>
    <s v="Quênia Rocha"/>
    <x v="2"/>
    <d v="2024-10-11T00:00:00"/>
    <x v="1"/>
    <n v="10"/>
    <x v="0"/>
    <s v="No"/>
    <s v="-"/>
    <s v="Yes"/>
    <n v="20"/>
    <n v="10"/>
    <n v="20"/>
  </r>
  <r>
    <n v="3460"/>
    <s v="Rafael Torres"/>
    <x v="1"/>
    <d v="2024-10-12T00:00:00"/>
    <x v="0"/>
    <n v="5"/>
    <x v="2"/>
    <s v="No"/>
    <s v="-"/>
    <s v="No"/>
    <n v="0"/>
    <n v="0"/>
    <n v="5"/>
  </r>
  <r>
    <n v="3461"/>
    <s v="Sandra Gouveia"/>
    <x v="0"/>
    <d v="2024-10-13T00:00:00"/>
    <x v="1"/>
    <n v="15"/>
    <x v="0"/>
    <s v="Yes"/>
    <n v="30"/>
    <s v="Yes"/>
    <n v="20"/>
    <n v="15"/>
    <n v="50"/>
  </r>
  <r>
    <n v="3462"/>
    <s v="Tiago Lacerda"/>
    <x v="2"/>
    <d v="2024-10-14T00:00:00"/>
    <x v="0"/>
    <n v="10"/>
    <x v="1"/>
    <s v="No"/>
    <s v="-"/>
    <s v="Yes"/>
    <n v="20"/>
    <n v="15"/>
    <n v="15"/>
  </r>
  <r>
    <n v="3463"/>
    <s v="Ursula Fonseca"/>
    <x v="1"/>
    <d v="2024-10-15T00:00:00"/>
    <x v="1"/>
    <n v="5"/>
    <x v="0"/>
    <s v="No"/>
    <s v="-"/>
    <s v="No"/>
    <n v="0"/>
    <n v="1"/>
    <n v="4"/>
  </r>
  <r>
    <n v="3464"/>
    <s v="Vanessa Andrade"/>
    <x v="0"/>
    <d v="2024-10-16T00:00:00"/>
    <x v="0"/>
    <n v="15"/>
    <x v="2"/>
    <s v="Yes"/>
    <n v="30"/>
    <s v="Yes"/>
    <n v="20"/>
    <n v="7"/>
    <n v="58"/>
  </r>
  <r>
    <n v="3465"/>
    <s v="William Castro"/>
    <x v="2"/>
    <d v="2024-10-17T00:00:00"/>
    <x v="1"/>
    <n v="10"/>
    <x v="0"/>
    <s v="No"/>
    <s v="-"/>
    <s v="Yes"/>
    <n v="20"/>
    <n v="10"/>
    <n v="20"/>
  </r>
  <r>
    <n v="3466"/>
    <s v="Xavier Monteiro"/>
    <x v="1"/>
    <d v="2024-10-18T00:00:00"/>
    <x v="0"/>
    <n v="5"/>
    <x v="1"/>
    <s v="No"/>
    <s v="-"/>
    <s v="No"/>
    <n v="0"/>
    <n v="0"/>
    <n v="5"/>
  </r>
  <r>
    <n v="3467"/>
    <s v="Yasmin Figueira"/>
    <x v="0"/>
    <d v="2024-10-19T00:00:00"/>
    <x v="1"/>
    <n v="15"/>
    <x v="0"/>
    <s v="Yes"/>
    <n v="30"/>
    <s v="Yes"/>
    <n v="20"/>
    <n v="15"/>
    <n v="50"/>
  </r>
  <r>
    <n v="3468"/>
    <s v="Zacarias Mendonça"/>
    <x v="2"/>
    <d v="2024-10-20T00:00:00"/>
    <x v="0"/>
    <n v="10"/>
    <x v="2"/>
    <s v="No"/>
    <s v="-"/>
    <s v="Yes"/>
    <n v="20"/>
    <n v="12"/>
    <n v="18"/>
  </r>
  <r>
    <n v="3469"/>
    <s v="Amanda Menezes"/>
    <x v="1"/>
    <d v="2024-10-21T00:00:00"/>
    <x v="1"/>
    <n v="5"/>
    <x v="0"/>
    <s v="No"/>
    <s v="-"/>
    <s v="No"/>
    <n v="0"/>
    <n v="2"/>
    <n v="3"/>
  </r>
  <r>
    <n v="3470"/>
    <s v="Bruno Santos"/>
    <x v="0"/>
    <d v="2024-10-22T00:00:00"/>
    <x v="0"/>
    <n v="15"/>
    <x v="1"/>
    <s v="Yes"/>
    <n v="30"/>
    <s v="Yes"/>
    <n v="20"/>
    <n v="5"/>
    <n v="60"/>
  </r>
  <r>
    <n v="3471"/>
    <s v="Carla Ferreira"/>
    <x v="2"/>
    <d v="2024-10-23T00:00:00"/>
    <x v="1"/>
    <n v="10"/>
    <x v="0"/>
    <s v="No"/>
    <s v="-"/>
    <s v="Yes"/>
    <n v="20"/>
    <n v="10"/>
    <n v="20"/>
  </r>
  <r>
    <n v="3472"/>
    <s v="Diogo Alves"/>
    <x v="1"/>
    <d v="2024-10-24T00:00:00"/>
    <x v="0"/>
    <n v="5"/>
    <x v="2"/>
    <s v="No"/>
    <s v="-"/>
    <s v="No"/>
    <n v="0"/>
    <n v="0"/>
    <n v="5"/>
  </r>
  <r>
    <n v="3473"/>
    <s v="Elisa Neves"/>
    <x v="0"/>
    <d v="2024-10-25T00:00:00"/>
    <x v="1"/>
    <n v="15"/>
    <x v="0"/>
    <s v="Yes"/>
    <n v="30"/>
    <s v="Yes"/>
    <n v="20"/>
    <n v="3"/>
    <n v="62"/>
  </r>
  <r>
    <n v="3474"/>
    <s v="Fabiano Pires"/>
    <x v="2"/>
    <d v="2024-10-26T00:00:00"/>
    <x v="0"/>
    <n v="10"/>
    <x v="1"/>
    <s v="No"/>
    <s v="-"/>
    <s v="Yes"/>
    <n v="20"/>
    <n v="15"/>
    <n v="15"/>
  </r>
  <r>
    <n v="3475"/>
    <s v="Giovana Ribeiro"/>
    <x v="1"/>
    <d v="2024-10-27T00:00:00"/>
    <x v="1"/>
    <n v="5"/>
    <x v="0"/>
    <s v="No"/>
    <s v="-"/>
    <s v="No"/>
    <n v="0"/>
    <n v="1"/>
    <n v="4"/>
  </r>
  <r>
    <n v="3476"/>
    <s v="Hélio Costa"/>
    <x v="0"/>
    <d v="2024-10-28T00:00:00"/>
    <x v="0"/>
    <n v="15"/>
    <x v="2"/>
    <s v="Yes"/>
    <n v="30"/>
    <s v="Yes"/>
    <n v="20"/>
    <n v="7"/>
    <n v="58"/>
  </r>
  <r>
    <n v="3477"/>
    <s v="Íris Loureiro"/>
    <x v="2"/>
    <d v="2024-10-29T00:00:00"/>
    <x v="1"/>
    <n v="10"/>
    <x v="0"/>
    <s v="No"/>
    <s v="-"/>
    <s v="Yes"/>
    <n v="20"/>
    <n v="10"/>
    <n v="20"/>
  </r>
  <r>
    <n v="3478"/>
    <s v="João Pereira"/>
    <x v="1"/>
    <d v="2024-10-30T00:00:00"/>
    <x v="0"/>
    <n v="5"/>
    <x v="1"/>
    <s v="No"/>
    <s v="-"/>
    <s v="No"/>
    <n v="0"/>
    <n v="0"/>
    <n v="5"/>
  </r>
  <r>
    <n v="3479"/>
    <s v="Klara Silva"/>
    <x v="0"/>
    <d v="2024-10-31T00:00:00"/>
    <x v="1"/>
    <n v="15"/>
    <x v="0"/>
    <s v="Yes"/>
    <n v="30"/>
    <s v="Yes"/>
    <n v="20"/>
    <n v="20"/>
    <n v="45"/>
  </r>
  <r>
    <n v="3480"/>
    <s v="Luciana Barros"/>
    <x v="2"/>
    <d v="2024-11-01T00:00:00"/>
    <x v="0"/>
    <n v="10"/>
    <x v="2"/>
    <s v="No"/>
    <s v="-"/>
    <s v="Yes"/>
    <n v="20"/>
    <n v="15"/>
    <n v="15"/>
  </r>
  <r>
    <n v="3481"/>
    <s v="Marcos Gomes"/>
    <x v="1"/>
    <d v="2024-11-02T00:00:00"/>
    <x v="1"/>
    <n v="5"/>
    <x v="0"/>
    <s v="No"/>
    <s v="-"/>
    <s v="No"/>
    <n v="0"/>
    <n v="1"/>
    <n v="4"/>
  </r>
  <r>
    <n v="3482"/>
    <s v="Natália Soares"/>
    <x v="0"/>
    <d v="2024-11-03T00:00:00"/>
    <x v="0"/>
    <n v="15"/>
    <x v="1"/>
    <s v="Yes"/>
    <n v="30"/>
    <s v="Yes"/>
    <n v="20"/>
    <n v="3"/>
    <n v="62"/>
  </r>
  <r>
    <n v="3483"/>
    <s v="Oscar Machado"/>
    <x v="2"/>
    <d v="2024-11-04T00:00:00"/>
    <x v="1"/>
    <n v="10"/>
    <x v="0"/>
    <s v="No"/>
    <s v="-"/>
    <s v="Yes"/>
    <n v="20"/>
    <n v="10"/>
    <n v="20"/>
  </r>
  <r>
    <n v="3484"/>
    <s v="Patrícia Lima"/>
    <x v="1"/>
    <d v="2024-11-05T00:00:00"/>
    <x v="0"/>
    <n v="5"/>
    <x v="2"/>
    <s v="No"/>
    <s v="-"/>
    <s v="No"/>
    <n v="0"/>
    <n v="0"/>
    <n v="5"/>
  </r>
  <r>
    <n v="3485"/>
    <s v="Quirino Neto"/>
    <x v="0"/>
    <d v="2024-11-06T00:00:00"/>
    <x v="1"/>
    <n v="15"/>
    <x v="0"/>
    <s v="Yes"/>
    <n v="30"/>
    <s v="Yes"/>
    <n v="20"/>
    <n v="15"/>
    <n v="50"/>
  </r>
  <r>
    <n v="3486"/>
    <s v="Rafaela Souza"/>
    <x v="1"/>
    <d v="2024-11-07T00:00:00"/>
    <x v="0"/>
    <n v="5"/>
    <x v="0"/>
    <s v="No"/>
    <s v="-"/>
    <s v="No"/>
    <n v="0"/>
    <n v="0"/>
    <n v="5"/>
  </r>
  <r>
    <n v="3487"/>
    <s v="Sandro Almeida"/>
    <x v="0"/>
    <d v="2024-11-08T00:00:00"/>
    <x v="1"/>
    <n v="15"/>
    <x v="2"/>
    <s v="Yes"/>
    <n v="30"/>
    <s v="Yes"/>
    <n v="20"/>
    <n v="7"/>
    <n v="58"/>
  </r>
  <r>
    <n v="3488"/>
    <s v="Tânia Ribeiro"/>
    <x v="2"/>
    <d v="2024-11-09T00:00:00"/>
    <x v="0"/>
    <n v="10"/>
    <x v="1"/>
    <s v="No"/>
    <s v="-"/>
    <s v="Yes"/>
    <n v="20"/>
    <n v="10"/>
    <n v="20"/>
  </r>
  <r>
    <n v="3489"/>
    <s v="Ugo Dias"/>
    <x v="1"/>
    <d v="2024-11-10T00:00:00"/>
    <x v="1"/>
    <n v="5"/>
    <x v="2"/>
    <s v="No"/>
    <s v="-"/>
    <s v="No"/>
    <n v="0"/>
    <n v="1"/>
    <n v="4"/>
  </r>
  <r>
    <n v="3490"/>
    <s v="Valéria Lima"/>
    <x v="0"/>
    <d v="2024-11-11T00:00:00"/>
    <x v="0"/>
    <n v="15"/>
    <x v="0"/>
    <s v="Yes"/>
    <n v="30"/>
    <s v="Yes"/>
    <n v="20"/>
    <n v="15"/>
    <n v="50"/>
  </r>
  <r>
    <n v="3491"/>
    <s v="William Fernandes"/>
    <x v="2"/>
    <d v="2024-11-12T00:00:00"/>
    <x v="1"/>
    <n v="10"/>
    <x v="0"/>
    <s v="No"/>
    <s v="-"/>
    <s v="Yes"/>
    <n v="20"/>
    <n v="5"/>
    <n v="25"/>
  </r>
  <r>
    <n v="3492"/>
    <s v="Xuxa Mendes"/>
    <x v="1"/>
    <d v="2024-11-13T00:00:00"/>
    <x v="0"/>
    <n v="5"/>
    <x v="1"/>
    <s v="No"/>
    <s v="-"/>
    <s v="No"/>
    <n v="0"/>
    <n v="0"/>
    <n v="5"/>
  </r>
  <r>
    <n v="3493"/>
    <s v="Ygor Farias"/>
    <x v="0"/>
    <d v="2024-11-14T00:00:00"/>
    <x v="1"/>
    <n v="15"/>
    <x v="2"/>
    <s v="Yes"/>
    <n v="30"/>
    <s v="Yes"/>
    <n v="20"/>
    <n v="20"/>
    <n v="45"/>
  </r>
  <r>
    <n v="3494"/>
    <s v="Zilda Barros"/>
    <x v="2"/>
    <d v="2024-11-15T00:00:00"/>
    <x v="0"/>
    <n v="10"/>
    <x v="2"/>
    <s v="No"/>
    <s v="-"/>
    <s v="Yes"/>
    <n v="20"/>
    <n v="12"/>
    <n v="18"/>
  </r>
  <r>
    <n v="3495"/>
    <s v="Amanda Santos"/>
    <x v="1"/>
    <d v="2024-11-16T00:00:00"/>
    <x v="1"/>
    <n v="5"/>
    <x v="0"/>
    <s v="No"/>
    <s v="-"/>
    <s v="No"/>
    <n v="0"/>
    <n v="2"/>
    <n v="3"/>
  </r>
  <r>
    <n v="3496"/>
    <s v="Bruno Costa"/>
    <x v="0"/>
    <d v="2024-11-17T00:00:00"/>
    <x v="0"/>
    <n v="15"/>
    <x v="1"/>
    <s v="Yes"/>
    <n v="30"/>
    <s v="Yes"/>
    <n v="20"/>
    <n v="5"/>
    <n v="60"/>
  </r>
  <r>
    <n v="3497"/>
    <s v="Carla Rodrigues"/>
    <x v="2"/>
    <d v="2024-11-18T00:00:00"/>
    <x v="1"/>
    <n v="10"/>
    <x v="0"/>
    <s v="No"/>
    <s v="-"/>
    <s v="Yes"/>
    <n v="20"/>
    <n v="10"/>
    <n v="20"/>
  </r>
  <r>
    <n v="3498"/>
    <s v="Diogo Pereira"/>
    <x v="1"/>
    <d v="2024-11-19T00:00:00"/>
    <x v="0"/>
    <n v="5"/>
    <x v="2"/>
    <s v="No"/>
    <s v="-"/>
    <s v="No"/>
    <n v="0"/>
    <n v="0"/>
    <n v="5"/>
  </r>
  <r>
    <n v="3499"/>
    <s v="Elisa Correia"/>
    <x v="0"/>
    <d v="2024-11-20T00:00:00"/>
    <x v="1"/>
    <n v="15"/>
    <x v="0"/>
    <s v="Yes"/>
    <n v="30"/>
    <s v="Yes"/>
    <n v="20"/>
    <n v="3"/>
    <n v="62"/>
  </r>
  <r>
    <n v="3500"/>
    <s v="Fábio Lourenço"/>
    <x v="2"/>
    <d v="2024-11-21T00:00:00"/>
    <x v="0"/>
    <n v="10"/>
    <x v="1"/>
    <s v="No"/>
    <s v="-"/>
    <s v="Yes"/>
    <n v="20"/>
    <n v="15"/>
    <n v="15"/>
  </r>
  <r>
    <n v="3501"/>
    <s v="Gabriela Neves"/>
    <x v="1"/>
    <d v="2024-11-22T00:00:00"/>
    <x v="1"/>
    <n v="5"/>
    <x v="0"/>
    <s v="No"/>
    <s v="-"/>
    <s v="No"/>
    <n v="0"/>
    <n v="1"/>
    <n v="4"/>
  </r>
  <r>
    <n v="3502"/>
    <s v="Henrique Gonçalves"/>
    <x v="0"/>
    <d v="2024-11-23T00:00:00"/>
    <x v="0"/>
    <n v="15"/>
    <x v="2"/>
    <s v="Yes"/>
    <n v="30"/>
    <s v="Yes"/>
    <n v="20"/>
    <n v="7"/>
    <n v="58"/>
  </r>
  <r>
    <n v="3503"/>
    <s v="Íris Santos"/>
    <x v="2"/>
    <d v="2024-11-24T00:00:00"/>
    <x v="1"/>
    <n v="10"/>
    <x v="0"/>
    <s v="No"/>
    <s v="-"/>
    <s v="Yes"/>
    <n v="20"/>
    <n v="10"/>
    <n v="20"/>
  </r>
  <r>
    <n v="3504"/>
    <s v="João Marcelo Alves"/>
    <x v="1"/>
    <d v="2024-11-25T00:00:00"/>
    <x v="0"/>
    <n v="5"/>
    <x v="1"/>
    <s v="No"/>
    <s v="-"/>
    <s v="No"/>
    <n v="0"/>
    <n v="0"/>
    <n v="5"/>
  </r>
  <r>
    <n v="3505"/>
    <s v="Klara Fonseca"/>
    <x v="0"/>
    <d v="2024-11-26T00:00:00"/>
    <x v="1"/>
    <n v="15"/>
    <x v="0"/>
    <s v="Yes"/>
    <n v="30"/>
    <s v="Yes"/>
    <n v="20"/>
    <n v="20"/>
    <n v="45"/>
  </r>
  <r>
    <n v="3506"/>
    <s v="Lucas Mendonça"/>
    <x v="2"/>
    <d v="2024-11-27T00:00:00"/>
    <x v="0"/>
    <n v="10"/>
    <x v="2"/>
    <s v="No"/>
    <s v="-"/>
    <s v="Yes"/>
    <n v="20"/>
    <n v="15"/>
    <n v="15"/>
  </r>
  <r>
    <n v="3507"/>
    <s v="Marcela Torres"/>
    <x v="1"/>
    <d v="2024-11-28T00:00:00"/>
    <x v="1"/>
    <n v="5"/>
    <x v="0"/>
    <s v="No"/>
    <s v="-"/>
    <s v="No"/>
    <n v="0"/>
    <n v="1"/>
    <n v="4"/>
  </r>
  <r>
    <n v="3508"/>
    <s v="Natália Castro"/>
    <x v="0"/>
    <d v="2024-11-29T00:00:00"/>
    <x v="0"/>
    <n v="15"/>
    <x v="1"/>
    <s v="Yes"/>
    <n v="30"/>
    <s v="Yes"/>
    <n v="20"/>
    <n v="3"/>
    <n v="62"/>
  </r>
  <r>
    <n v="3509"/>
    <s v="Oscar Martins"/>
    <x v="2"/>
    <d v="2024-11-30T00:00:00"/>
    <x v="1"/>
    <n v="10"/>
    <x v="0"/>
    <s v="No"/>
    <s v="-"/>
    <s v="Yes"/>
    <n v="20"/>
    <n v="10"/>
    <n v="20"/>
  </r>
  <r>
    <n v="3510"/>
    <s v="Patrícia Oliveira"/>
    <x v="1"/>
    <d v="2024-12-01T00:00:00"/>
    <x v="0"/>
    <n v="5"/>
    <x v="2"/>
    <s v="No"/>
    <s v="-"/>
    <s v="No"/>
    <n v="0"/>
    <n v="0"/>
    <n v="5"/>
  </r>
  <r>
    <n v="3511"/>
    <s v="Quentin Nogueira"/>
    <x v="0"/>
    <d v="2024-12-02T00:00:00"/>
    <x v="1"/>
    <n v="15"/>
    <x v="0"/>
    <s v="Yes"/>
    <n v="30"/>
    <s v="Yes"/>
    <n v="20"/>
    <n v="15"/>
    <n v="50"/>
  </r>
  <r>
    <n v="3512"/>
    <s v="Raquel Silva"/>
    <x v="2"/>
    <d v="2024-12-03T00:00:00"/>
    <x v="0"/>
    <n v="10"/>
    <x v="1"/>
    <s v="No"/>
    <s v="-"/>
    <s v="Yes"/>
    <n v="20"/>
    <n v="15"/>
    <n v="15"/>
  </r>
  <r>
    <n v="3513"/>
    <s v="Sandro Gomes"/>
    <x v="1"/>
    <d v="2024-12-04T00:00:00"/>
    <x v="1"/>
    <n v="5"/>
    <x v="0"/>
    <s v="No"/>
    <s v="-"/>
    <s v="No"/>
    <n v="0"/>
    <n v="1"/>
    <n v="4"/>
  </r>
  <r>
    <n v="3514"/>
    <s v="Tânia Machado"/>
    <x v="0"/>
    <d v="2024-12-05T00:00:00"/>
    <x v="0"/>
    <n v="15"/>
    <x v="2"/>
    <s v="Yes"/>
    <n v="30"/>
    <s v="Yes"/>
    <n v="20"/>
    <n v="7"/>
    <n v="58"/>
  </r>
  <r>
    <n v="3515"/>
    <s v="Ursula Silva"/>
    <x v="2"/>
    <d v="2024-12-06T00:00:00"/>
    <x v="1"/>
    <n v="10"/>
    <x v="0"/>
    <s v="No"/>
    <s v="-"/>
    <s v="Yes"/>
    <n v="20"/>
    <n v="10"/>
    <n v="20"/>
  </r>
  <r>
    <n v="3516"/>
    <s v="Vanessa Moraes"/>
    <x v="1"/>
    <d v="2024-12-07T00:00:00"/>
    <x v="0"/>
    <n v="5"/>
    <x v="1"/>
    <s v="No"/>
    <s v="-"/>
    <s v="No"/>
    <n v="0"/>
    <n v="0"/>
    <n v="5"/>
  </r>
  <r>
    <n v="3517"/>
    <s v="William Carvalho"/>
    <x v="0"/>
    <d v="2024-12-08T00:00:00"/>
    <x v="1"/>
    <n v="15"/>
    <x v="0"/>
    <s v="Yes"/>
    <n v="30"/>
    <s v="Yes"/>
    <n v="20"/>
    <n v="20"/>
    <n v="45"/>
  </r>
  <r>
    <n v="3518"/>
    <s v="Xavier Reis"/>
    <x v="2"/>
    <d v="2024-12-09T00:00:00"/>
    <x v="0"/>
    <n v="10"/>
    <x v="2"/>
    <s v="No"/>
    <s v="-"/>
    <s v="Yes"/>
    <n v="20"/>
    <n v="12"/>
    <n v="18"/>
  </r>
  <r>
    <n v="3519"/>
    <s v="Yasmin Rocha"/>
    <x v="1"/>
    <d v="2024-12-10T00:00:00"/>
    <x v="1"/>
    <n v="5"/>
    <x v="0"/>
    <s v="No"/>
    <s v="-"/>
    <s v="No"/>
    <n v="0"/>
    <n v="2"/>
    <n v="3"/>
  </r>
  <r>
    <n v="3520"/>
    <s v="Zacarias Duarte"/>
    <x v="0"/>
    <d v="2024-12-11T00:00:00"/>
    <x v="0"/>
    <n v="15"/>
    <x v="1"/>
    <s v="Yes"/>
    <n v="30"/>
    <s v="Yes"/>
    <n v="20"/>
    <n v="5"/>
    <n v="60"/>
  </r>
  <r>
    <n v="3521"/>
    <s v="Amanda Freitas"/>
    <x v="2"/>
    <d v="2024-12-12T00:00:00"/>
    <x v="1"/>
    <n v="10"/>
    <x v="0"/>
    <s v="No"/>
    <s v="-"/>
    <s v="Yes"/>
    <n v="20"/>
    <n v="10"/>
    <n v="20"/>
  </r>
  <r>
    <n v="3522"/>
    <s v="Bruno Almeida"/>
    <x v="1"/>
    <d v="2024-12-13T00:00:00"/>
    <x v="0"/>
    <n v="5"/>
    <x v="2"/>
    <s v="No"/>
    <s v="-"/>
    <s v="No"/>
    <n v="0"/>
    <n v="0"/>
    <n v="5"/>
  </r>
  <r>
    <n v="3523"/>
    <s v="Carla Siqueira"/>
    <x v="0"/>
    <d v="2024-12-14T00:00:00"/>
    <x v="1"/>
    <n v="15"/>
    <x v="0"/>
    <s v="Yes"/>
    <n v="30"/>
    <s v="Yes"/>
    <n v="20"/>
    <n v="3"/>
    <n v="62"/>
  </r>
  <r>
    <n v="3524"/>
    <s v="Diogo Ramos"/>
    <x v="2"/>
    <d v="2024-12-15T00:00:00"/>
    <x v="0"/>
    <n v="10"/>
    <x v="1"/>
    <s v="No"/>
    <s v="-"/>
    <s v="Yes"/>
    <n v="20"/>
    <n v="15"/>
    <n v="15"/>
  </r>
  <r>
    <n v="3525"/>
    <s v="Elisa Magalhães"/>
    <x v="1"/>
    <d v="2024-12-16T00:00:00"/>
    <x v="1"/>
    <n v="5"/>
    <x v="0"/>
    <s v="No"/>
    <s v="-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78DC9C-BE86-47E7-A80A-9E7804A8B616}" name="Tabela dinâmica6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22:B26" firstHeaderRow="1" firstDataRow="1" firstDataCol="1"/>
  <pivotFields count="13">
    <pivotField dataField="1" showAll="0"/>
    <pivotField showAll="0"/>
    <pivotField showAll="0"/>
    <pivotField numFmtId="14" showAll="0"/>
    <pivotField showAll="0"/>
    <pivotField numFmtId="44"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Subscriber ID" fld="0" subtotal="count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61F270-962C-47DA-ACA2-69689EA598A7}" name="Tabela dinâmica5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16:B19" firstHeaderRow="1" firstDataRow="1" firstDataCol="1"/>
  <pivotFields count="13">
    <pivotField dataField="1" showAll="0"/>
    <pivotField showAll="0"/>
    <pivotField showAll="0"/>
    <pivotField numFmtId="14" showAll="0"/>
    <pivotField axis="axisRow" showAll="0">
      <items count="3">
        <item x="1"/>
        <item x="0"/>
        <item t="default"/>
      </items>
    </pivotField>
    <pivotField numFmtId="44" showAll="0"/>
    <pivotField showAll="0"/>
    <pivotField showAll="0"/>
    <pivotField showAll="0"/>
    <pivotField showAll="0"/>
    <pivotField numFmtId="44" showAll="0"/>
    <pivotField numFmtId="44" showAll="0"/>
    <pivotField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Contagem de Subscriber ID" fld="0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55E7C5-11AE-4F01-A066-4DBA2F85AC17}" name="Tabela dinâmica4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9:B13" firstHeaderRow="1" firstDataRow="1" firstDataCol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showAll="0"/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Total Value" fld="12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083552-234F-4652-A7F3-34612C1CF1B1}" name="Tabela dinâmica3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2:B6" firstHeaderRow="1" firstDataRow="1" firstDataCol="1"/>
  <pivotFields count="13">
    <pivotField dataField="1"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showAll="0"/>
    <pivotField showAll="0"/>
    <pivotField showAll="0"/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Subscriber ID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bldesign" displayName="tbldesign" ref="A1:M296" totalsRowShown="0" dataDxfId="13">
  <autoFilter ref="A1:M296" xr:uid="{34E0E886-4200-4B36-97B3-63DB74FF40A0}">
    <filterColumn colId="7">
      <filters>
        <filter val="Yes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D10" sqref="D10"/>
    </sheetView>
  </sheetViews>
  <sheetFormatPr defaultRowHeight="14.25"/>
  <cols>
    <col min="9" max="9" width="3.625" customWidth="1"/>
  </cols>
  <sheetData>
    <row r="3" spans="2:16" ht="20.25" thickBot="1">
      <c r="B3" s="1" t="s">
        <v>0</v>
      </c>
      <c r="C3" s="1"/>
      <c r="D3" s="1"/>
      <c r="E3" s="1"/>
      <c r="F3" s="1"/>
      <c r="G3" s="1"/>
      <c r="H3" s="1"/>
    </row>
    <row r="4" spans="2:16" ht="15" thickTop="1"/>
    <row r="5" spans="2:16">
      <c r="B5" s="3" t="s">
        <v>2</v>
      </c>
      <c r="C5" t="s">
        <v>8</v>
      </c>
      <c r="E5" s="7" t="s">
        <v>6</v>
      </c>
      <c r="F5" t="s">
        <v>7</v>
      </c>
    </row>
    <row r="6" spans="2:16">
      <c r="B6" s="4" t="s">
        <v>3</v>
      </c>
      <c r="C6" t="s">
        <v>8</v>
      </c>
    </row>
    <row r="7" spans="2:16">
      <c r="B7" s="5" t="s">
        <v>4</v>
      </c>
      <c r="C7" t="s">
        <v>9</v>
      </c>
    </row>
    <row r="8" spans="2:16">
      <c r="B8" s="6" t="s">
        <v>5</v>
      </c>
      <c r="C8" t="s">
        <v>9</v>
      </c>
    </row>
    <row r="12" spans="2:16" ht="20.25" thickBot="1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>
      <c r="B13" s="2"/>
      <c r="C13" s="2"/>
      <c r="D13" s="2"/>
      <c r="E13" s="2"/>
      <c r="F13" s="2"/>
      <c r="G13" s="2"/>
      <c r="H13" s="2"/>
    </row>
    <row r="14" spans="2:16">
      <c r="B14" s="2"/>
      <c r="C14" s="2"/>
      <c r="D14" s="2"/>
      <c r="E14" s="2"/>
      <c r="F14" s="2"/>
      <c r="G14" s="2"/>
      <c r="H14" s="2"/>
    </row>
    <row r="15" spans="2:16">
      <c r="B15" s="2"/>
      <c r="C15" s="2"/>
      <c r="D15" s="2"/>
      <c r="E15" s="2"/>
      <c r="F15" s="2"/>
      <c r="G15" s="2"/>
      <c r="H15" s="2"/>
    </row>
    <row r="16" spans="2:16">
      <c r="B16" s="2"/>
      <c r="C16" s="2"/>
      <c r="D16" s="2"/>
      <c r="E16" s="2"/>
      <c r="F16" s="2"/>
      <c r="G16" s="2"/>
      <c r="H16" s="2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topLeftCell="B1" zoomScale="90" zoomScaleNormal="90" workbookViewId="0">
      <selection activeCell="L1" sqref="L1:L1048576"/>
    </sheetView>
  </sheetViews>
  <sheetFormatPr defaultRowHeight="14.25"/>
  <cols>
    <col min="1" max="1" width="17.875" bestFit="1" customWidth="1"/>
    <col min="2" max="2" width="18.875" bestFit="1" customWidth="1"/>
    <col min="3" max="3" width="9.375" bestFit="1" customWidth="1"/>
    <col min="4" max="4" width="14.625" bestFit="1" customWidth="1"/>
    <col min="5" max="5" width="18" bestFit="1" customWidth="1"/>
    <col min="6" max="6" width="14.75" bestFit="1" customWidth="1"/>
    <col min="7" max="7" width="22" bestFit="1" customWidth="1"/>
    <col min="8" max="8" width="20.625" bestFit="1" customWidth="1"/>
    <col min="9" max="9" width="20.625" customWidth="1"/>
    <col min="10" max="10" width="16.75" bestFit="1" customWidth="1"/>
    <col min="11" max="11" width="21.25" bestFit="1" customWidth="1"/>
    <col min="12" max="12" width="12.75" bestFit="1" customWidth="1"/>
    <col min="13" max="13" width="10.625" bestFit="1" customWidth="1"/>
  </cols>
  <sheetData>
    <row r="1" spans="1:13" ht="30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hidden="1" customHeight="1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hidden="1" customHeight="1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hidden="1" customHeight="1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hidden="1" customHeight="1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hidden="1" customHeight="1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hidden="1" customHeight="1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hidden="1" customHeight="1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hidden="1" customHeight="1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hidden="1" customHeight="1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hidden="1" customHeight="1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hidden="1" customHeight="1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hidden="1" customHeight="1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hidden="1" customHeight="1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hidden="1" customHeight="1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hidden="1" customHeight="1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hidden="1" customHeight="1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hidden="1" customHeight="1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hidden="1" customHeight="1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hidden="1" customHeight="1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hidden="1" customHeight="1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hidden="1" customHeight="1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hidden="1" customHeight="1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hidden="1" customHeight="1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hidden="1" customHeight="1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hidden="1" customHeight="1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hidden="1" customHeight="1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hidden="1" customHeight="1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hidden="1" customHeight="1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hidden="1" customHeight="1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hidden="1" customHeight="1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hidden="1" customHeight="1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hidden="1" customHeight="1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hidden="1" customHeight="1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hidden="1" customHeight="1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hidden="1" customHeight="1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hidden="1" customHeight="1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hidden="1" customHeight="1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hidden="1" customHeight="1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hidden="1" customHeight="1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hidden="1" customHeight="1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hidden="1" customHeight="1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hidden="1" customHeight="1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hidden="1" customHeight="1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hidden="1" customHeight="1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hidden="1" customHeight="1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hidden="1" customHeight="1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hidden="1" customHeight="1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hidden="1" customHeight="1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hidden="1" customHeight="1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hidden="1" customHeight="1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hidden="1" customHeight="1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hidden="1" customHeight="1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hidden="1" customHeight="1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hidden="1" customHeight="1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hidden="1" customHeight="1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hidden="1" customHeight="1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hidden="1" customHeight="1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hidden="1" customHeight="1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hidden="1" customHeight="1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hidden="1" customHeight="1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hidden="1" customHeight="1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hidden="1" customHeight="1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hidden="1" customHeight="1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hidden="1" customHeight="1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hidden="1" customHeight="1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hidden="1" customHeight="1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hidden="1" customHeight="1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hidden="1" customHeight="1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hidden="1" customHeight="1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hidden="1" customHeight="1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hidden="1" customHeight="1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hidden="1" customHeight="1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hidden="1" customHeight="1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hidden="1" customHeight="1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hidden="1" customHeight="1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hidden="1" customHeight="1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hidden="1" customHeight="1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hidden="1" customHeight="1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hidden="1" customHeight="1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hidden="1" customHeight="1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hidden="1" customHeight="1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hidden="1" customHeight="1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hidden="1" customHeight="1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hidden="1" customHeight="1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hidden="1" customHeight="1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hidden="1" customHeight="1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hidden="1" customHeight="1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hidden="1" customHeight="1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hidden="1" customHeight="1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hidden="1" customHeight="1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hidden="1" customHeight="1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hidden="1" customHeight="1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hidden="1" customHeight="1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hidden="1" customHeight="1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hidden="1" customHeight="1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hidden="1" customHeight="1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hidden="1" customHeight="1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hidden="1" customHeight="1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hidden="1" customHeight="1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hidden="1" customHeight="1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hidden="1" customHeight="1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hidden="1" customHeight="1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hidden="1" customHeight="1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hidden="1" customHeight="1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hidden="1" customHeight="1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hidden="1" customHeight="1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hidden="1" customHeight="1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hidden="1" customHeight="1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hidden="1" customHeight="1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hidden="1" customHeight="1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hidden="1" customHeight="1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hidden="1" customHeight="1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hidden="1" customHeight="1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hidden="1" customHeight="1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hidden="1" customHeight="1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hidden="1" customHeight="1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hidden="1" customHeight="1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hidden="1" customHeight="1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hidden="1" customHeight="1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hidden="1" customHeight="1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hidden="1" customHeight="1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hidden="1" customHeight="1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hidden="1" customHeight="1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hidden="1" customHeight="1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hidden="1" customHeight="1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hidden="1" customHeight="1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hidden="1" customHeight="1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hidden="1" customHeight="1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hidden="1" customHeight="1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hidden="1" customHeight="1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hidden="1" customHeight="1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hidden="1" customHeight="1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hidden="1" customHeight="1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hidden="1" customHeight="1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hidden="1" customHeight="1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hidden="1" customHeight="1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hidden="1" customHeight="1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hidden="1" customHeight="1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hidden="1" customHeight="1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hidden="1" customHeight="1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hidden="1" customHeight="1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hidden="1" customHeight="1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hidden="1" customHeight="1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hidden="1" customHeight="1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hidden="1" customHeight="1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hidden="1" customHeight="1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hidden="1" customHeight="1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hidden="1" customHeight="1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hidden="1" customHeight="1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hidden="1" customHeight="1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hidden="1" customHeight="1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hidden="1" customHeight="1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hidden="1" customHeight="1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hidden="1" customHeight="1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hidden="1" customHeight="1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hidden="1" customHeight="1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hidden="1" customHeight="1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hidden="1" customHeight="1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hidden="1" customHeight="1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hidden="1" customHeight="1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hidden="1" customHeight="1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hidden="1" customHeight="1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hidden="1" customHeight="1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hidden="1" customHeight="1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hidden="1" customHeight="1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hidden="1" customHeight="1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hidden="1" customHeight="1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hidden="1" customHeight="1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hidden="1" customHeight="1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hidden="1" customHeight="1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hidden="1" customHeight="1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hidden="1" customHeight="1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hidden="1" customHeight="1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hidden="1" customHeight="1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hidden="1" customHeight="1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hidden="1" customHeight="1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hidden="1" customHeight="1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hidden="1" customHeight="1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hidden="1" customHeight="1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hidden="1" customHeight="1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hidden="1" customHeight="1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hidden="1" customHeight="1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hidden="1" customHeight="1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hidden="1" customHeight="1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hidden="1" customHeight="1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hidden="1" customHeight="1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hidden="1" customHeight="1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hidden="1" customHeight="1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hidden="1" customHeight="1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hidden="1" customHeight="1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hidden="1" customHeight="1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hidden="1" customHeight="1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hidden="1" customHeight="1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hidden="1" customHeight="1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hidden="1" customHeight="1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hidden="1" customHeight="1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hidden="1" customHeight="1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A1:C26"/>
  <sheetViews>
    <sheetView showGridLines="0" topLeftCell="A7" workbookViewId="0">
      <selection activeCell="C19" sqref="C19"/>
    </sheetView>
  </sheetViews>
  <sheetFormatPr defaultRowHeight="14.25"/>
  <cols>
    <col min="1" max="1" width="18" bestFit="1" customWidth="1"/>
    <col min="2" max="2" width="25.75" bestFit="1" customWidth="1"/>
    <col min="3" max="3" width="18.375" bestFit="1" customWidth="1"/>
    <col min="4" max="4" width="30.625" bestFit="1" customWidth="1"/>
    <col min="5" max="5" width="6.25" customWidth="1"/>
    <col min="6" max="6" width="19.125" bestFit="1" customWidth="1"/>
    <col min="7" max="7" width="27.75" bestFit="1" customWidth="1"/>
    <col min="8" max="8" width="5.375" customWidth="1"/>
    <col min="9" max="9" width="21.125" bestFit="1" customWidth="1"/>
    <col min="10" max="11" width="35.125" bestFit="1" customWidth="1"/>
    <col min="12" max="15" width="9.75" bestFit="1" customWidth="1"/>
    <col min="16" max="16" width="15.625" bestFit="1" customWidth="1"/>
    <col min="17" max="17" width="12.125" bestFit="1" customWidth="1"/>
  </cols>
  <sheetData>
    <row r="1" spans="1:3">
      <c r="A1" t="s">
        <v>317</v>
      </c>
    </row>
    <row r="2" spans="1:3">
      <c r="A2" s="12" t="s">
        <v>313</v>
      </c>
      <c r="B2" t="s">
        <v>315</v>
      </c>
    </row>
    <row r="3" spans="1:3">
      <c r="A3" s="13" t="s">
        <v>22</v>
      </c>
      <c r="B3">
        <v>101</v>
      </c>
    </row>
    <row r="4" spans="1:3">
      <c r="A4" s="13" t="s">
        <v>26</v>
      </c>
      <c r="B4">
        <v>96</v>
      </c>
    </row>
    <row r="5" spans="1:3">
      <c r="A5" s="13" t="s">
        <v>18</v>
      </c>
      <c r="B5">
        <v>98</v>
      </c>
    </row>
    <row r="6" spans="1:3">
      <c r="A6" s="13" t="s">
        <v>314</v>
      </c>
      <c r="B6">
        <v>295</v>
      </c>
      <c r="C6">
        <v>295</v>
      </c>
    </row>
    <row r="8" spans="1:3">
      <c r="A8" t="s">
        <v>318</v>
      </c>
    </row>
    <row r="9" spans="1:3">
      <c r="A9" s="12" t="s">
        <v>313</v>
      </c>
      <c r="B9" t="s">
        <v>316</v>
      </c>
    </row>
    <row r="10" spans="1:3">
      <c r="A10" s="13" t="s">
        <v>22</v>
      </c>
      <c r="B10">
        <v>444</v>
      </c>
    </row>
    <row r="11" spans="1:3">
      <c r="A11" s="13" t="s">
        <v>26</v>
      </c>
      <c r="B11">
        <v>1801</v>
      </c>
    </row>
    <row r="12" spans="1:3">
      <c r="A12" s="13" t="s">
        <v>18</v>
      </c>
      <c r="B12">
        <v>5388</v>
      </c>
    </row>
    <row r="13" spans="1:3">
      <c r="A13" s="13" t="s">
        <v>314</v>
      </c>
      <c r="B13">
        <v>7633</v>
      </c>
      <c r="C13" s="16">
        <v>7633</v>
      </c>
    </row>
    <row r="15" spans="1:3">
      <c r="A15" t="s">
        <v>319</v>
      </c>
    </row>
    <row r="16" spans="1:3">
      <c r="A16" s="12" t="s">
        <v>313</v>
      </c>
      <c r="B16" t="s">
        <v>315</v>
      </c>
    </row>
    <row r="17" spans="1:3">
      <c r="A17" s="13" t="s">
        <v>23</v>
      </c>
      <c r="B17">
        <v>147</v>
      </c>
    </row>
    <row r="18" spans="1:3">
      <c r="A18" s="13" t="s">
        <v>19</v>
      </c>
      <c r="B18">
        <v>148</v>
      </c>
    </row>
    <row r="19" spans="1:3">
      <c r="A19" s="13" t="s">
        <v>314</v>
      </c>
      <c r="B19">
        <v>295</v>
      </c>
      <c r="C19" s="17">
        <f>COUNTIF(A16:B19,"Yes")/COUNTA(A16:B19)</f>
        <v>0.125</v>
      </c>
    </row>
    <row r="21" spans="1:3">
      <c r="A21" t="s">
        <v>320</v>
      </c>
    </row>
    <row r="22" spans="1:3">
      <c r="A22" s="12" t="s">
        <v>313</v>
      </c>
      <c r="B22" t="s">
        <v>315</v>
      </c>
    </row>
    <row r="23" spans="1:3">
      <c r="A23" s="13" t="s">
        <v>24</v>
      </c>
      <c r="B23">
        <v>71</v>
      </c>
    </row>
    <row r="24" spans="1:3">
      <c r="A24" s="13" t="s">
        <v>20</v>
      </c>
      <c r="B24">
        <v>139</v>
      </c>
    </row>
    <row r="25" spans="1:3">
      <c r="A25" s="13" t="s">
        <v>27</v>
      </c>
      <c r="B25">
        <v>85</v>
      </c>
    </row>
    <row r="26" spans="1:3">
      <c r="A26" s="13" t="s">
        <v>314</v>
      </c>
      <c r="B26">
        <v>295</v>
      </c>
      <c r="C26" s="15">
        <f>SUM(Bases!L2:L294)</f>
        <v>2106</v>
      </c>
    </row>
  </sheetData>
  <pageMargins left="0.511811024" right="0.511811024" top="0.78740157499999996" bottom="0.78740157499999996" header="0.31496062000000002" footer="0.31496062000000002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E5275-DEE4-4759-80C5-BBAFC31E3853}">
  <dimension ref="A1:S59"/>
  <sheetViews>
    <sheetView showGridLines="0" tabSelected="1" workbookViewId="0">
      <selection activeCell="G15" sqref="G15"/>
    </sheetView>
  </sheetViews>
  <sheetFormatPr defaultRowHeight="14.25"/>
  <cols>
    <col min="1" max="19" width="12.625" customWidth="1"/>
  </cols>
  <sheetData>
    <row r="1" spans="1:19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4.25" customHeigh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</row>
    <row r="3" spans="1:19" ht="15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</row>
    <row r="4" spans="1:19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</row>
    <row r="5" spans="1:19" ht="16.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</row>
    <row r="6" spans="1:19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</row>
    <row r="7" spans="1:19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</row>
    <row r="8" spans="1:19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</row>
    <row r="9" spans="1:19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</row>
    <row r="10" spans="1:19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</row>
    <row r="11" spans="1:19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</row>
    <row r="12" spans="1:19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</row>
    <row r="13" spans="1:19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spans="1:19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spans="1:19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spans="1:19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spans="1:19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spans="1:19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spans="1: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spans="1:19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spans="1:19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</row>
    <row r="22" spans="1:19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</row>
    <row r="23" spans="1:19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</row>
    <row r="24" spans="1:19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</row>
    <row r="25" spans="1:19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</row>
    <row r="26" spans="1:19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</row>
    <row r="27" spans="1:19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</row>
    <row r="28" spans="1:19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</row>
    <row r="29" spans="1:1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</row>
    <row r="30" spans="1:19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</row>
    <row r="31" spans="1:19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</row>
    <row r="32" spans="1:19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</row>
    <row r="33" spans="1:19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</row>
    <row r="34" spans="1:19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</row>
    <row r="35" spans="1:19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</row>
    <row r="36" spans="1:19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</row>
    <row r="37" spans="1:19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</row>
    <row r="38" spans="1:19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</row>
    <row r="39" spans="1:1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 spans="1:19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</row>
    <row r="41" spans="1:19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</row>
    <row r="42" spans="1:19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</row>
    <row r="43" spans="1:19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</row>
    <row r="44" spans="1:19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</row>
    <row r="45" spans="1:19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</row>
    <row r="46" spans="1:19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</row>
    <row r="47" spans="1:19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</row>
    <row r="48" spans="1:19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</row>
    <row r="49" spans="1:1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</row>
    <row r="50" spans="1:19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</row>
    <row r="51" spans="1:19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</row>
    <row r="52" spans="1:19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</row>
    <row r="53" spans="1:19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</row>
    <row r="54" spans="1:19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</row>
    <row r="55" spans="1:19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</row>
    <row r="56" spans="1:19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</row>
    <row r="57" spans="1:19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</row>
    <row r="58" spans="1:19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</row>
    <row r="59" spans="1:1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2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C46BA74-F499-44DE-946A-636CB42271B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Bases</vt:lpstr>
      <vt:lpstr>C̳álculos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Rafaela Sommer Gonçalves</cp:lastModifiedBy>
  <dcterms:created xsi:type="dcterms:W3CDTF">2024-12-19T13:13:10Z</dcterms:created>
  <dcterms:modified xsi:type="dcterms:W3CDTF">2026-10-23T14:12:59Z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