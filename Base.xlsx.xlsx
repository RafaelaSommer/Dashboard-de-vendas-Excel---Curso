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40" documentId="13_ncr:1_{8A558CCE-68EB-4CD8-B400-D2E3B1B06940}" xr6:coauthVersionLast="47" xr6:coauthVersionMax="47" xr10:uidLastSave="{F13DA0D2-B0FE-47EC-B8D7-C5F860340E10}"/>
  <bookViews>
    <workbookView xWindow="-120" yWindow="-120" windowWidth="20730" windowHeight="11040" tabRatio="0" firstSheet="3" activeTab="3" xr2:uid="{28DD5B76-0634-4F87-BE60-8BFA7EF2E23B}"/>
  </bookViews>
  <sheets>
    <sheet name="A̳ssets" sheetId="1" state="hidden" r:id="rId1"/>
    <sheet name="Bases" sheetId="2" state="hidden" r:id="rId2"/>
    <sheet name="C̳álculos" sheetId="3" state="hidden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  <c r="C26" i="3"/>
</calcChain>
</file>

<file path=xl/sharedStrings.xml><?xml version="1.0" encoding="utf-8"?>
<sst xmlns="http://schemas.openxmlformats.org/spreadsheetml/2006/main" count="2020" uniqueCount="321">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</sst>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  <xf numFmtId="9" fontId="0" fillId="0" borderId="0" xfId="3" applyFont="1"/>
    <xf numFmtId="0" fontId="4" fillId="8" borderId="0" xfId="0" applyFont="1" applyFill="1"/>
  </cellXfs>
  <cellStyles count="4">
    <cellStyle name="Moeda" xfId="2" builtinId="4"/>
    <cellStyle name="Normal" xfId="0" builtinId="0"/>
    <cellStyle name="Porcentagem" xfId="3" builtinId="5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107C41"/>
      <color rgb="FF35B86B"/>
      <color rgb="FF7CFC98"/>
      <color rgb="FFF7F8FC"/>
      <color rgb="FF21A653"/>
      <color rgb="FF737B78"/>
      <color rgb="FFA5DDB8"/>
      <color rgb="FF42B883"/>
      <color rgb="FFE07A5F"/>
      <color rgb="FF52B7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[Base.xlsx.xlsx]C̳álculos!Tabela dinâmica4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C̳álculos!$A$10:$A$13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C̳álculos!$B$10:$B$13</c:f>
              <c:numCache>
                <c:formatCode>General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DF-4385-B3F2-46BFCCD74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26795408"/>
        <c:axId val="1926795824"/>
      </c:barChart>
      <c:catAx>
        <c:axId val="1926795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795824"/>
        <c:crosses val="autoZero"/>
        <c:auto val="1"/>
        <c:lblAlgn val="ctr"/>
        <c:lblOffset val="100"/>
        <c:noMultiLvlLbl val="0"/>
      </c:catAx>
      <c:valAx>
        <c:axId val="192679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79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[Base.xlsx.xlsx]C̳álculos!Tabela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rgbClr val="F7F8FC"/>
                </a:solidFill>
              </a:rPr>
              <a:t>Renovação Automática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7B78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1A653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C̳álculos!$B$16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737B7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80-4602-B748-10E7D323925E}"/>
              </c:ext>
            </c:extLst>
          </c:dPt>
          <c:dPt>
            <c:idx val="1"/>
            <c:bubble3D val="0"/>
            <c:spPr>
              <a:solidFill>
                <a:srgbClr val="21A65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80-4602-B748-10E7D323925E}"/>
              </c:ext>
            </c:extLst>
          </c:dPt>
          <c:cat>
            <c:strRef>
              <c:f>C̳álculos!$A$17:$A$19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C̳álculos!$B$17:$B$19</c:f>
              <c:numCache>
                <c:formatCode>General</c:formatCode>
                <c:ptCount val="2"/>
                <c:pt idx="0">
                  <c:v>147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80-4602-B748-10E7D3239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80" b="0" i="0" u="none" strike="noStrike" kern="1200" baseline="0">
                <a:solidFill>
                  <a:srgbClr val="F7F8FC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80" b="0" i="0" u="none" strike="noStrike" kern="1200" baseline="0">
                <a:solidFill>
                  <a:srgbClr val="F7F8FC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81681600760863693"/>
          <c:y val="0.42944900098869171"/>
          <c:w val="8.3438442652947392E-2"/>
          <c:h val="0.174752300245343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baseline="0">
              <a:solidFill>
                <a:srgbClr val="F7F8FC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7171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[Base.xlsx.xlsx]C̳álculos!Tabela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F7F8FC"/>
                </a:solidFill>
              </a:rPr>
              <a:t>Assinantes por plano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07C4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42B883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A5DDB8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C̳álculos!$B$22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107C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7D-4EEA-8AEA-E75881B2FFD6}"/>
              </c:ext>
            </c:extLst>
          </c:dPt>
          <c:dPt>
            <c:idx val="1"/>
            <c:bubble3D val="0"/>
            <c:spPr>
              <a:solidFill>
                <a:srgbClr val="42B8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7D-4EEA-8AEA-E75881B2FFD6}"/>
              </c:ext>
            </c:extLst>
          </c:dPt>
          <c:dPt>
            <c:idx val="2"/>
            <c:bubble3D val="0"/>
            <c:spPr>
              <a:solidFill>
                <a:srgbClr val="A5DDB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7D-4EEA-8AEA-E75881B2FFD6}"/>
              </c:ext>
            </c:extLst>
          </c:dPt>
          <c:cat>
            <c:strRef>
              <c:f>C̳álculos!$A$23:$A$26</c:f>
              <c:strCache>
                <c:ptCount val="3"/>
                <c:pt idx="0">
                  <c:v>Annual</c:v>
                </c:pt>
                <c:pt idx="1">
                  <c:v>Monthly</c:v>
                </c:pt>
                <c:pt idx="2">
                  <c:v>Quarterly</c:v>
                </c:pt>
              </c:strCache>
            </c:strRef>
          </c:cat>
          <c:val>
            <c:numRef>
              <c:f>C̳álculos!$B$23:$B$26</c:f>
              <c:numCache>
                <c:formatCode>General</c:formatCode>
                <c:ptCount val="3"/>
                <c:pt idx="0">
                  <c:v>71</c:v>
                </c:pt>
                <c:pt idx="1">
                  <c:v>139</c:v>
                </c:pt>
                <c:pt idx="2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47D-4EEA-8AEA-E75881B2F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645873700725275"/>
          <c:y val="0.34135316418780992"/>
          <c:w val="0.17156779135042308"/>
          <c:h val="0.3547470107903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baseline="0">
              <a:solidFill>
                <a:srgbClr val="F7F8FC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7171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[Base.xlsx.xlsx]C̳álculos!Tabela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rgbClr val="F7F8F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 por plano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CFC98"/>
          </a:solidFill>
          <a:ln>
            <a:noFill/>
          </a:ln>
          <a:effectLst/>
        </c:spPr>
      </c:pivotFmt>
      <c:pivotFmt>
        <c:idx val="4"/>
        <c:spPr>
          <a:solidFill>
            <a:srgbClr val="35B86B"/>
          </a:solidFill>
          <a:ln>
            <a:noFill/>
          </a:ln>
          <a:effectLst/>
        </c:spPr>
      </c:pivotFmt>
      <c:pivotFmt>
        <c:idx val="5"/>
        <c:spPr>
          <a:solidFill>
            <a:srgbClr val="107C4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07C4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50-440B-A781-96992C9AAC21}"/>
              </c:ext>
            </c:extLst>
          </c:dPt>
          <c:dPt>
            <c:idx val="1"/>
            <c:invertIfNegative val="0"/>
            <c:bubble3D val="0"/>
            <c:spPr>
              <a:solidFill>
                <a:srgbClr val="35B86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50-440B-A781-96992C9AAC21}"/>
              </c:ext>
            </c:extLst>
          </c:dPt>
          <c:dPt>
            <c:idx val="2"/>
            <c:invertIfNegative val="0"/>
            <c:bubble3D val="0"/>
            <c:spPr>
              <a:solidFill>
                <a:srgbClr val="7CFC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50-440B-A781-96992C9AAC21}"/>
              </c:ext>
            </c:extLst>
          </c:dPt>
          <c:cat>
            <c:strRef>
              <c:f>C̳álculos!$A$10:$A$13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C̳álculos!$B$10:$B$13</c:f>
              <c:numCache>
                <c:formatCode>General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0-440B-A781-96992C9AAC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26795408"/>
        <c:axId val="1926795824"/>
      </c:barChart>
      <c:catAx>
        <c:axId val="1926795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30" b="0" i="0" u="none" strike="noStrike" kern="1200" baseline="0">
                <a:solidFill>
                  <a:srgbClr val="F7F8FC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pt-BR"/>
          </a:p>
        </c:txPr>
        <c:crossAx val="1926795824"/>
        <c:crosses val="autoZero"/>
        <c:auto val="1"/>
        <c:lblAlgn val="ctr"/>
        <c:lblOffset val="100"/>
        <c:noMultiLvlLbl val="0"/>
      </c:catAx>
      <c:valAx>
        <c:axId val="1926795824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30" b="0" i="0" u="none" strike="noStrike" kern="1200" baseline="0">
                <a:solidFill>
                  <a:srgbClr val="F7F8FC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pt-BR"/>
          </a:p>
        </c:txPr>
        <c:crossAx val="192679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30" b="0" i="0" u="none" strike="noStrike" kern="1200" baseline="0">
              <a:solidFill>
                <a:srgbClr val="F7F8FC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42424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1057275</xdr:colOff>
      <xdr:row>5</xdr:row>
      <xdr:rowOff>138112</xdr:rowOff>
    </xdr:from>
    <xdr:to>
      <xdr:col>3</xdr:col>
      <xdr:colOff>2266950</xdr:colOff>
      <xdr:row>20</xdr:row>
      <xdr:rowOff>166687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FD279C4-2AA6-4511-8A04-93BF4D99B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</xdr:row>
      <xdr:rowOff>19050</xdr:rowOff>
    </xdr:from>
    <xdr:to>
      <xdr:col>12</xdr:col>
      <xdr:colOff>876300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599" y="200025"/>
          <a:ext cx="11430001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3</xdr:col>
      <xdr:colOff>850446</xdr:colOff>
      <xdr:row>6</xdr:row>
      <xdr:rowOff>1361</xdr:rowOff>
    </xdr:from>
    <xdr:to>
      <xdr:col>6</xdr:col>
      <xdr:colOff>698046</xdr:colOff>
      <xdr:row>11</xdr:row>
      <xdr:rowOff>121103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3748767" y="1103540"/>
          <a:ext cx="2745922" cy="1004206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81643</xdr:colOff>
      <xdr:row>5</xdr:row>
      <xdr:rowOff>168728</xdr:rowOff>
    </xdr:from>
    <xdr:to>
      <xdr:col>3</xdr:col>
      <xdr:colOff>552452</xdr:colOff>
      <xdr:row>11</xdr:row>
      <xdr:rowOff>119744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047750" y="1094014"/>
          <a:ext cx="2403023" cy="1012373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6</xdr:col>
      <xdr:colOff>934813</xdr:colOff>
      <xdr:row>5</xdr:row>
      <xdr:rowOff>149678</xdr:rowOff>
    </xdr:from>
    <xdr:to>
      <xdr:col>9</xdr:col>
      <xdr:colOff>753837</xdr:colOff>
      <xdr:row>11</xdr:row>
      <xdr:rowOff>102053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72FC7CE8-0FB7-4FC0-B2B0-09122F4CE405}"/>
            </a:ext>
          </a:extLst>
        </xdr:cNvPr>
        <xdr:cNvGrpSpPr/>
      </xdr:nvGrpSpPr>
      <xdr:grpSpPr>
        <a:xfrm>
          <a:off x="6731456" y="1074964"/>
          <a:ext cx="2717345" cy="1013732"/>
          <a:chOff x="6696077" y="1085850"/>
          <a:chExt cx="2705099" cy="1038225"/>
        </a:xfrm>
      </xdr:grpSpPr>
      <xdr:sp macro="" textlink="C̳álculos!C26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6705601" y="1085850"/>
            <a:ext cx="2691967" cy="103822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6696077" y="1085852"/>
            <a:ext cx="2705099" cy="44867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  <xdr:twoCellAnchor>
    <xdr:from>
      <xdr:col>9</xdr:col>
      <xdr:colOff>962025</xdr:colOff>
      <xdr:row>5</xdr:row>
      <xdr:rowOff>168728</xdr:rowOff>
    </xdr:from>
    <xdr:to>
      <xdr:col>12</xdr:col>
      <xdr:colOff>776968</xdr:colOff>
      <xdr:row>11</xdr:row>
      <xdr:rowOff>121103</xdr:rowOff>
    </xdr:to>
    <xdr:grpSp>
      <xdr:nvGrpSpPr>
        <xdr:cNvPr id="22" name="Agrupar 21">
          <a:extLst>
            <a:ext uri="{FF2B5EF4-FFF2-40B4-BE49-F238E27FC236}">
              <a16:creationId xmlns:a16="http://schemas.microsoft.com/office/drawing/2014/main" id="{3FA1D19F-9E11-4420-86CD-79B237D2D506}"/>
            </a:ext>
          </a:extLst>
        </xdr:cNvPr>
        <xdr:cNvGrpSpPr/>
      </xdr:nvGrpSpPr>
      <xdr:grpSpPr>
        <a:xfrm>
          <a:off x="9656989" y="1094014"/>
          <a:ext cx="2713265" cy="1013732"/>
          <a:chOff x="3762375" y="1163698"/>
          <a:chExt cx="1962151" cy="676275"/>
        </a:xfrm>
      </xdr:grpSpPr>
      <xdr:sp macro="" textlink="C̳álculos!C19">
        <xdr:nvSpPr>
          <xdr:cNvPr id="28" name="Retângulo: Cantos Arredondados 27">
            <a:extLst>
              <a:ext uri="{FF2B5EF4-FFF2-40B4-BE49-F238E27FC236}">
                <a16:creationId xmlns:a16="http://schemas.microsoft.com/office/drawing/2014/main" id="{6456CC4C-AC32-4389-A502-B086A0183402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2AE9551-02BD-4BCF-8049-CD0D24D0458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13%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4E90775F-827A-405F-A8F4-5DDB611DA739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RENOVAÇÃO AUTOMÁTICA</a:t>
            </a:r>
          </a:p>
        </xdr:txBody>
      </xdr:sp>
    </xdr:grpSp>
    <xdr:clientData/>
  </xdr:twoCellAnchor>
  <xdr:twoCellAnchor>
    <xdr:from>
      <xdr:col>7</xdr:col>
      <xdr:colOff>244929</xdr:colOff>
      <xdr:row>12</xdr:row>
      <xdr:rowOff>136071</xdr:rowOff>
    </xdr:from>
    <xdr:to>
      <xdr:col>12</xdr:col>
      <xdr:colOff>762000</xdr:colOff>
      <xdr:row>29</xdr:row>
      <xdr:rowOff>68036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611D1DE1-06E7-4BC9-AE7A-FEA43A57C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81643</xdr:colOff>
      <xdr:row>12</xdr:row>
      <xdr:rowOff>136071</xdr:rowOff>
    </xdr:from>
    <xdr:to>
      <xdr:col>6</xdr:col>
      <xdr:colOff>721178</xdr:colOff>
      <xdr:row>29</xdr:row>
      <xdr:rowOff>81643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B122DDB3-B31E-4DF3-A06A-A25456A7D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</xdr:col>
      <xdr:colOff>81643</xdr:colOff>
      <xdr:row>31</xdr:row>
      <xdr:rowOff>163286</xdr:rowOff>
    </xdr:from>
    <xdr:to>
      <xdr:col>12</xdr:col>
      <xdr:colOff>776967</xdr:colOff>
      <xdr:row>47</xdr:row>
      <xdr:rowOff>76200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F70EA741-D83B-46F7-B93E-79D6A040D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chartFormats count="4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chartFormats count="3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topLeftCell="A4" workbookViewId="0">
      <selection activeCell="A9" sqref="A9:B13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</row>
    <row r="17" spans="1:3">
      <c r="A17" s="13" t="s">
        <v>23</v>
      </c>
      <c r="B17">
        <v>147</v>
      </c>
    </row>
    <row r="18" spans="1:3">
      <c r="A18" s="13" t="s">
        <v>19</v>
      </c>
      <c r="B18">
        <v>148</v>
      </c>
    </row>
    <row r="19" spans="1:3">
      <c r="A19" s="13" t="s">
        <v>314</v>
      </c>
      <c r="B19">
        <v>295</v>
      </c>
      <c r="C19" s="17">
        <f>COUNTIF(A16:B19,"Yes")/COUNTA(A16:B19)</f>
        <v>0.125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  <c r="C26" s="15">
        <f>SUM(Bases!L2:L294)</f>
        <v>2106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59"/>
  <sheetViews>
    <sheetView showGridLines="0" showRowColHeaders="0" tabSelected="1" topLeftCell="A2" zoomScale="70" zoomScaleNormal="70" workbookViewId="0">
      <selection activeCell="R20" sqref="R20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spans="1:19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1:19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spans="1:19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spans="1:19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spans="1:19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spans="1:19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4"/>
      <c r="M36" s="14"/>
      <c r="N36" s="14"/>
      <c r="O36" s="14"/>
      <c r="P36" s="14"/>
      <c r="Q36" s="14"/>
      <c r="R36" s="14"/>
      <c r="S36" s="14"/>
    </row>
    <row r="37" spans="1:19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1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1:19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1:19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1:19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1:19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1:19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1:19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spans="1:19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</row>
    <row r="47" spans="1:19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</row>
    <row r="48" spans="1:19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spans="1:1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spans="1:19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1:19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spans="1:19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spans="1:19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1:19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spans="1:19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1:19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</row>
    <row r="57" spans="1:19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</row>
    <row r="58" spans="1:19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spans="1:1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2026-10-23T15:13:41Z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