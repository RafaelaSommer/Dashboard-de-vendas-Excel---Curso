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c11786601a6d3946/Desktop/Dashboard-de-vendas-Excel---Curso/"/>
    </mc:Choice>
  </mc:AlternateContent>
  <xr:revisionPtr revIDLastSave="18" documentId="13_ncr:1_{8A558CCE-68EB-4CD8-B400-D2E3B1B06940}" xr6:coauthVersionLast="47" xr6:coauthVersionMax="47" xr10:uidLastSave="{E3FA626A-7355-46DA-B2C1-096200331965}"/>
  <bookViews>
    <workbookView xWindow="-120" yWindow="-120" windowWidth="20730" windowHeight="11040" activeTab="3" xr2:uid="{28DD5B76-0634-4F87-BE60-8BFA7EF2E23B}"/>
  </bookViews>
  <sheets>
    <sheet name="A̳ssets" sheetId="1" r:id="rId1"/>
    <sheet name="Bases" sheetId="2" r:id="rId2"/>
    <sheet name="C̳álculos" sheetId="3" r:id="rId3"/>
    <sheet name="Dashboard" sheetId="6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3" l="1"/>
  <c r="C17" i="3"/>
  <c r="C26" i="3"/>
</calcChain>
</file>

<file path=xl/sharedStrings.xml><?xml version="1.0" encoding="utf-8"?>
<sst xmlns="http://schemas.openxmlformats.org/spreadsheetml/2006/main" count="2022" uniqueCount="322">
  <si>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</si>
  <si>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</si>
  <si>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</si>
  <si>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</si>
  <si>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</si>
  <si>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</si>
  <si>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</si>
  <si>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</si>
  <si>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</si>
  <si>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</si>
  <si>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</si>
  <si>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</si>
  <si>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</si>
  <si>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</si>
  <si>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</si>
  <si>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</si>
  <si>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</si>
  <si>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</si>
  <si>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</si>
  <si>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</si>
  <si>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</si>
  <si>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</si>
  <si>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</si>
  <si>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</si>
  <si>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</si>
  <si>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</si>
  <si>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</si>
  <si>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</si>
  <si>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</si>
  <si>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</si>
  <si>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</si>
  <si>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</si>
  <si>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</si>
  <si>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</si>
  <si>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</si>
  <si>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</si>
  <si>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</si>
  <si>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</si>
  <si>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</si>
  <si>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</si>
  <si>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</si>
  <si>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</si>
  <si>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</si>
  <si>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</si>
  <si>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</si>
  <si>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</si>
  <si>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</si>
  <si>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</si>
  <si>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</si>
  <si>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</si>
  <si>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</si>
  <si>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</si>
  <si>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</si>
  <si>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</si>
  <si>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</si>
  <si>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</si>
  <si>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</si>
  <si>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</si>
  <si>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</si>
  <si>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</si>
  <si>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</si>
  <si>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</si>
  <si>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</si>
  <si>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</si>
  <si>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</si>
  <si>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</si>
  <si>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</si>
  <si>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</si>
  <si>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</si>
  <si>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</si>
  <si>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</si>
  <si>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</si>
  <si>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</si>
  <si>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</si>
  <si>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</si>
  <si>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</si>
  <si>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</si>
  <si>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</si>
  <si>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</si>
  <si>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</si>
  <si>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</si>
  <si>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</si>
  <si>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</si>
  <si>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</si>
  <si>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</si>
  <si>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</si>
  <si>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</si>
  <si>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</si>
  <si>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</si>
  <si>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</si>
  <si>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</si>
  <si>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</si>
  <si>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</si>
  <si>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</si>
  <si>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</si>
  <si>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</si>
  <si>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</si>
  <si>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</si>
  <si>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</si>
  <si>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</si>
  <si>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</si>
  <si>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</si>
  <si>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</si>
  <si>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</si>
  <si>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</si>
  <si>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</si>
  <si>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</si>
  <si>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</si>
  <si>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</si>
  <si>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</si>
  <si>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</si>
  <si>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</si>
  <si>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</si>
  <si>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</si>
  <si>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</si>
  <si>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</si>
  <si>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</si>
  <si>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</si>
  <si>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</si>
  <si>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</si>
  <si>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</si>
  <si>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</si>
  <si>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</si>
  <si>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</si>
  <si>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</si>
  <si>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</si>
  <si>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</si>
  <si>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</si>
  <si>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</si>
  <si>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</si>
  <si>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</si>
  <si>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</si>
  <si>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</si>
  <si>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</si>
  <si>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</si>
  <si>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</si>
  <si>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</si>
  <si>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</si>
  <si>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</si>
  <si>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</si>
  <si>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</si>
  <si>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</si>
  <si>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</si>
  <si>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</si>
  <si>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</si>
  <si>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</si>
  <si>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</si>
  <si>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</si>
  <si>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</si>
  <si>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</si>
  <si>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</si>
  <si>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</si>
  <si>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</si>
  <si>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</si>
  <si>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</si>
  <si>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</si>
  <si>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</si>
  <si>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</si>
  <si>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</si>
  <si>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</si>
  <si>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</si>
  <si>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</si>
  <si>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</si>
  <si>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</si>
  <si>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</si>
  <si>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</si>
  <si>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</si>
  <si>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</si>
  <si>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</si>
  <si>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</si>
  <si>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</si>
  <si>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</si>
  <si>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</si>
  <si>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</si>
  <si>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</si>
  <si>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</si>
  <si>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</si>
  <si>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</si>
  <si>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</si>
  <si>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</si>
  <si>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</si>
  <si>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</si>
  <si>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</si>
  <si>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</si>
  <si>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</si>
  <si>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</si>
  <si>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</si>
  <si>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</si>
  <si>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</si>
  <si>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</si>
  <si>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</si>
  <si>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</si>
  <si>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</si>
  <si>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</si>
  <si>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</si>
  <si>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</si>
  <si>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</si>
  <si>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</si>
  <si>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</si>
  <si>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</si>
  <si>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</si>
  <si>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</si>
  <si>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</si>
  <si>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</si>
  <si>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</si>
  <si>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</si>
  <si>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</si>
  <si>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</si>
  <si>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</si>
  <si>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</si>
  <si>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</si>
  <si>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</si>
  <si>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</si>
  <si>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</si>
  <si>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</si>
  <si>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</si>
  <si>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</si>
  <si>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</si>
  <si>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</si>
  <si>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</si>
  <si>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</si>
  <si>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</si>
  <si>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</si>
  <si>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</si>
  <si>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</si>
  <si>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</si>
  <si>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</si>
  <si>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</si>
  <si>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</si>
  <si>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</si>
  <si>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</si>
  <si>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</si>
  <si>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</si>
  <si>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</si>
  <si>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</si>
  <si>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</si>
  <si>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</si>
  <si>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</si>
  <si>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</si>
  <si>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</si>
  <si>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</si>
  <si>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</si>
  <si>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</si>
  <si>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</si>
  <si>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</si>
  <si>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</si>
  <si>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</si>
  <si>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</si>
  <si>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</si>
  <si>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</si>
  <si>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</si>
  <si>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</si>
  <si>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</si>
  <si>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</si>
  <si>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</si>
  <si>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</si>
  <si>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</si>
  <si>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</si>
  <si>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</si>
  <si>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</si>
  <si>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</si>
  <si>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</si>
  <si>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</si>
  <si>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</si>
  <si>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</si>
  <si>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</si>
  <si>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</si>
  <si>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</si>
  <si>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</si>
  <si>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</si>
  <si>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</si>
  <si>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</si>
  <si>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</si>
  <si>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</si>
  <si>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</si>
  <si>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</si>
  <si>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</si>
  <si>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</si>
  <si>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</si>
  <si>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</si>
  <si>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</si>
  <si>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</si>
  <si>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</si>
  <si>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</si>
  <si>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</si>
  <si>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</si>
  <si>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</si>
  <si>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</si>
  <si>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</si>
  <si>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</si>
  <si>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</si>
  <si>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</si>
  <si>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</si>
  <si>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</si>
  <si>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</si>
  <si>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</si>
  <si>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</si>
  <si>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</si>
  <si>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</si>
  <si>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</si>
  <si>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</si>
  <si>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</si>
  <si>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</si>
  <si>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</si>
  <si>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</si>
  <si>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</si>
  <si>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</si>
  <si>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</si>
  <si>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</si>
  <si>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</si>
  <si>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</si>
  <si>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</si>
  <si>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</si>
  <si>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</si>
  <si>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</si>
  <si>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Contagem de Subscriber ID</t>
  </si>
  <si>
    <t>Soma de Total Value</t>
  </si>
  <si>
    <t>Tabela 1 — Assinantes por plano</t>
  </si>
  <si>
    <t>Tabela 2 — Receita por plano</t>
  </si>
  <si>
    <t>Tabela 3 — Renovação automática</t>
  </si>
  <si>
    <t>Tabela 4 — Assinaturas por tipo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</si>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</sst>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44" fontId="0" fillId="0" borderId="0" xfId="0" applyNumberFormat="1"/>
    <xf numFmtId="44" fontId="0" fillId="0" borderId="0" xfId="2" applyFon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0E0E0"/>
      <color rgb="FF171717"/>
      <color rgb="FFE8E6E9"/>
      <color rgb="FFD9D9D9"/>
      <color rgb="FF22C55E"/>
      <color rgb="FF242424"/>
      <color rgb="FF0B3D24"/>
      <color rgb="FFF7F8FC"/>
      <color rgb="FF156082"/>
      <color rgb="FF5B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</xdr:row>
      <xdr:rowOff>19050</xdr:rowOff>
    </xdr:from>
    <xdr:to>
      <xdr:col>10</xdr:col>
      <xdr:colOff>371474</xdr:colOff>
      <xdr:row>5</xdr:row>
      <xdr:rowOff>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4AFDC177-74FA-409D-A7A8-755FB1034058}"/>
            </a:ext>
          </a:extLst>
        </xdr:cNvPr>
        <xdr:cNvSpPr/>
      </xdr:nvSpPr>
      <xdr:spPr>
        <a:xfrm>
          <a:off x="990599" y="200025"/>
          <a:ext cx="9001125" cy="742950"/>
        </a:xfrm>
        <a:prstGeom prst="roundRect">
          <a:avLst/>
        </a:prstGeom>
        <a:solidFill>
          <a:srgbClr val="0B3D2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2000">
              <a:latin typeface="Segoe UI" panose="020B0502040204020203" pitchFamily="34" charset="0"/>
              <a:cs typeface="Segoe UI" panose="020B0502040204020203" pitchFamily="34" charset="0"/>
            </a:rPr>
            <a:t>            XBOX GAME PASS | DASHBOARD</a:t>
          </a:r>
        </a:p>
        <a:p>
          <a:pPr algn="l"/>
          <a:r>
            <a:rPr lang="pt-BR" sz="1200">
              <a:solidFill>
                <a:srgbClr val="E0E0E0"/>
              </a:solidFill>
            </a:rPr>
            <a:t>                         </a:t>
          </a:r>
          <a:r>
            <a:rPr lang="pt-BR" sz="1100">
              <a:solidFill>
                <a:srgbClr val="E0E0E0"/>
              </a:solidFill>
              <a:latin typeface="Segoe UI" panose="020B0502040204020203" pitchFamily="34" charset="0"/>
              <a:cs typeface="Segoe UI" panose="020B0502040204020203" pitchFamily="34" charset="0"/>
            </a:rPr>
            <a:t>Panorama de assinaturas e receita</a:t>
          </a:r>
        </a:p>
      </xdr:txBody>
    </xdr:sp>
    <xdr:clientData/>
  </xdr:twoCellAnchor>
  <xdr:twoCellAnchor editAs="oneCell">
    <xdr:from>
      <xdr:col>1</xdr:col>
      <xdr:colOff>257175</xdr:colOff>
      <xdr:row>1</xdr:row>
      <xdr:rowOff>161925</xdr:rowOff>
    </xdr:from>
    <xdr:to>
      <xdr:col>1</xdr:col>
      <xdr:colOff>781050</xdr:colOff>
      <xdr:row>4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E921AA-E1C0-4BF5-A097-1E04834143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8307" b="-1143"/>
        <a:stretch/>
      </xdr:blipFill>
      <xdr:spPr>
        <a:xfrm>
          <a:off x="1219200" y="342900"/>
          <a:ext cx="523875" cy="438150"/>
        </a:xfrm>
        <a:prstGeom prst="rect">
          <a:avLst/>
        </a:prstGeom>
      </xdr:spPr>
    </xdr:pic>
    <xdr:clientData/>
  </xdr:twoCellAnchor>
  <xdr:twoCellAnchor>
    <xdr:from>
      <xdr:col>4</xdr:col>
      <xdr:colOff>76200</xdr:colOff>
      <xdr:row>6</xdr:row>
      <xdr:rowOff>28576</xdr:rowOff>
    </xdr:from>
    <xdr:to>
      <xdr:col>6</xdr:col>
      <xdr:colOff>885825</xdr:colOff>
      <xdr:row>11</xdr:row>
      <xdr:rowOff>152400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4CC06F7E-C124-42B7-B763-17405D6E3D67}"/>
            </a:ext>
          </a:extLst>
        </xdr:cNvPr>
        <xdr:cNvGrpSpPr/>
      </xdr:nvGrpSpPr>
      <xdr:grpSpPr>
        <a:xfrm>
          <a:off x="3924300" y="1152526"/>
          <a:ext cx="2733675" cy="1028699"/>
          <a:chOff x="3695700" y="1228725"/>
          <a:chExt cx="1952625" cy="676275"/>
        </a:xfrm>
      </xdr:grpSpPr>
      <xdr:sp macro="" textlink="C̳álculos!C13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5DDFBB87-B626-4AEC-A2D2-9511A118D109}"/>
              </a:ext>
            </a:extLst>
          </xdr:cNvPr>
          <xdr:cNvSpPr/>
        </xdr:nvSpPr>
        <xdr:spPr>
          <a:xfrm>
            <a:off x="3695700" y="1228725"/>
            <a:ext cx="1952625" cy="676275"/>
          </a:xfrm>
          <a:prstGeom prst="roundRect">
            <a:avLst/>
          </a:prstGeom>
          <a:solidFill>
            <a:srgbClr val="24242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CE712152-8E14-4D97-86FD-3DD04F6E4D24}" type="TxLink">
              <a:rPr lang="en-US" sz="1800" b="0" i="0" u="none" strike="noStrike">
                <a:solidFill>
                  <a:srgbClr val="E0E0E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R$ 7.633,00 </a:t>
            </a:fld>
            <a:endParaRPr lang="pt-BR" sz="1800">
              <a:solidFill>
                <a:srgbClr val="E0E0E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4524D522-A627-44D8-AC28-8B7CE909363B}"/>
              </a:ext>
            </a:extLst>
          </xdr:cNvPr>
          <xdr:cNvSpPr/>
        </xdr:nvSpPr>
        <xdr:spPr>
          <a:xfrm>
            <a:off x="3695700" y="1228725"/>
            <a:ext cx="1952625" cy="285750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rgbClr val="E8E6E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RECEITA</a:t>
            </a:r>
            <a:r>
              <a:rPr lang="pt-BR" sz="1100" b="1" baseline="0">
                <a:solidFill>
                  <a:srgbClr val="E8E6E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TOTAL</a:t>
            </a:r>
            <a:endParaRPr lang="pt-BR" sz="1100" b="1">
              <a:solidFill>
                <a:srgbClr val="E8E6E9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85726</xdr:colOff>
      <xdr:row>6</xdr:row>
      <xdr:rowOff>76199</xdr:rowOff>
    </xdr:from>
    <xdr:to>
      <xdr:col>3</xdr:col>
      <xdr:colOff>571502</xdr:colOff>
      <xdr:row>11</xdr:row>
      <xdr:rowOff>161923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CBC7775B-C3A2-4D11-9317-2D7CE444A84A}"/>
            </a:ext>
          </a:extLst>
        </xdr:cNvPr>
        <xdr:cNvGrpSpPr/>
      </xdr:nvGrpSpPr>
      <xdr:grpSpPr>
        <a:xfrm>
          <a:off x="1047751" y="1200149"/>
          <a:ext cx="2409826" cy="990599"/>
          <a:chOff x="3762375" y="1163698"/>
          <a:chExt cx="1962151" cy="676275"/>
        </a:xfrm>
      </xdr:grpSpPr>
      <xdr:sp macro="" textlink="C̳álculos!C6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408E3AF7-6570-4CE1-AA19-68B13172D5EB}"/>
              </a:ext>
            </a:extLst>
          </xdr:cNvPr>
          <xdr:cNvSpPr/>
        </xdr:nvSpPr>
        <xdr:spPr>
          <a:xfrm>
            <a:off x="3762375" y="1163698"/>
            <a:ext cx="1952625" cy="676275"/>
          </a:xfrm>
          <a:prstGeom prst="roundRect">
            <a:avLst/>
          </a:prstGeom>
          <a:solidFill>
            <a:srgbClr val="24242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660E1D8B-003A-47F2-B161-548C67407966}" type="TxLink">
              <a:rPr lang="en-US" sz="1800" b="0" i="0" u="none" strike="noStrike">
                <a:solidFill>
                  <a:srgbClr val="E0E0E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295</a:t>
            </a:fld>
            <a:endParaRPr lang="pt-BR" sz="1800">
              <a:solidFill>
                <a:srgbClr val="E0E0E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1EA7B1E8-F5B1-45AE-AF6A-3FDDA74B0FB2}"/>
              </a:ext>
            </a:extLst>
          </xdr:cNvPr>
          <xdr:cNvSpPr/>
        </xdr:nvSpPr>
        <xdr:spPr>
          <a:xfrm>
            <a:off x="3762376" y="1163699"/>
            <a:ext cx="1962150" cy="292253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rgbClr val="E8E6E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DE ASSINANTES</a:t>
            </a:r>
          </a:p>
        </xdr:txBody>
      </xdr:sp>
    </xdr:grpSp>
    <xdr:clientData/>
  </xdr:twoCellAnchor>
  <xdr:twoCellAnchor>
    <xdr:from>
      <xdr:col>2</xdr:col>
      <xdr:colOff>257175</xdr:colOff>
      <xdr:row>14</xdr:row>
      <xdr:rowOff>152400</xdr:rowOff>
    </xdr:from>
    <xdr:to>
      <xdr:col>5</xdr:col>
      <xdr:colOff>76200</xdr:colOff>
      <xdr:row>20</xdr:row>
      <xdr:rowOff>104775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07A74A89-9647-416D-999C-610C4E73E218}"/>
            </a:ext>
          </a:extLst>
        </xdr:cNvPr>
        <xdr:cNvGrpSpPr/>
      </xdr:nvGrpSpPr>
      <xdr:grpSpPr>
        <a:xfrm>
          <a:off x="2181225" y="2724150"/>
          <a:ext cx="2705100" cy="1038225"/>
          <a:chOff x="3762375" y="1163698"/>
          <a:chExt cx="1962151" cy="676275"/>
        </a:xfrm>
      </xdr:grpSpPr>
      <xdr:sp macro="" textlink="C̳álculos!C26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47C0F199-035D-4D58-B1D4-717E4797CE81}"/>
              </a:ext>
            </a:extLst>
          </xdr:cNvPr>
          <xdr:cNvSpPr/>
        </xdr:nvSpPr>
        <xdr:spPr>
          <a:xfrm>
            <a:off x="3762375" y="1163698"/>
            <a:ext cx="1952625" cy="676275"/>
          </a:xfrm>
          <a:prstGeom prst="roundRect">
            <a:avLst/>
          </a:prstGeom>
          <a:solidFill>
            <a:srgbClr val="24242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97752D17-237A-4B29-9FC2-BBB163B6CCAE}" type="TxLink">
              <a:rPr lang="en-US" sz="1800" b="0" i="0" u="none" strike="noStrike">
                <a:solidFill>
                  <a:srgbClr val="E0E0E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R$ 2.106,00 </a:t>
            </a:fld>
            <a:endParaRPr lang="en-US" sz="1800" b="0" i="0" u="none" strike="noStrike">
              <a:solidFill>
                <a:srgbClr val="E0E0E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925A6B89-C54D-4495-BE9D-EC889D2D8ABA}"/>
              </a:ext>
            </a:extLst>
          </xdr:cNvPr>
          <xdr:cNvSpPr/>
        </xdr:nvSpPr>
        <xdr:spPr>
          <a:xfrm>
            <a:off x="3762376" y="1163699"/>
            <a:ext cx="1962150" cy="292253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rgbClr val="E8E6E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DE CUPONS</a:t>
            </a:r>
          </a:p>
        </xdr:txBody>
      </xdr:sp>
    </xdr:grpSp>
    <xdr:clientData/>
  </xdr:twoCellAnchor>
  <xdr:twoCellAnchor>
    <xdr:from>
      <xdr:col>5</xdr:col>
      <xdr:colOff>914400</xdr:colOff>
      <xdr:row>14</xdr:row>
      <xdr:rowOff>152401</xdr:rowOff>
    </xdr:from>
    <xdr:to>
      <xdr:col>8</xdr:col>
      <xdr:colOff>771526</xdr:colOff>
      <xdr:row>20</xdr:row>
      <xdr:rowOff>76199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BF1006E2-FA1F-40C5-A693-06B3075A127D}"/>
            </a:ext>
          </a:extLst>
        </xdr:cNvPr>
        <xdr:cNvGrpSpPr/>
      </xdr:nvGrpSpPr>
      <xdr:grpSpPr>
        <a:xfrm>
          <a:off x="5724525" y="2724151"/>
          <a:ext cx="2743201" cy="1009648"/>
          <a:chOff x="5173413" y="2676526"/>
          <a:chExt cx="2550694" cy="1009648"/>
        </a:xfrm>
      </xdr:grpSpPr>
      <xdr:sp macro="" textlink="C̳álculos!C19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B3E25F3C-AEBC-4A06-909E-F6E86191CEE3}"/>
              </a:ext>
            </a:extLst>
          </xdr:cNvPr>
          <xdr:cNvSpPr/>
        </xdr:nvSpPr>
        <xdr:spPr>
          <a:xfrm>
            <a:off x="5191122" y="2695575"/>
            <a:ext cx="2524124" cy="990599"/>
          </a:xfrm>
          <a:prstGeom prst="roundRect">
            <a:avLst/>
          </a:prstGeom>
          <a:solidFill>
            <a:srgbClr val="24242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D13773D1-4D77-4904-B2AC-AB944B077BEB}" type="TxLink">
              <a:rPr lang="en-US" sz="1800" b="0" i="0" u="none" strike="noStrike">
                <a:solidFill>
                  <a:srgbClr val="E0E0E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148</a:t>
            </a:fld>
            <a:endParaRPr lang="en-US" sz="1800" b="0" i="0" u="none" strike="noStrike">
              <a:solidFill>
                <a:srgbClr val="E0E0E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202024F3-A33C-4E55-97D4-9EB8EE802364}"/>
              </a:ext>
            </a:extLst>
          </xdr:cNvPr>
          <xdr:cNvSpPr/>
        </xdr:nvSpPr>
        <xdr:spPr>
          <a:xfrm>
            <a:off x="5173413" y="2676526"/>
            <a:ext cx="2550694" cy="475714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rgbClr val="E8E6E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rgbClr val="E8E6E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COM RENOVAÇÃO ATIVADA</a:t>
            </a:r>
            <a:endParaRPr lang="pt-BR" sz="1100" b="1">
              <a:solidFill>
                <a:srgbClr val="E8E6E9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314324</xdr:colOff>
      <xdr:row>6</xdr:row>
      <xdr:rowOff>47626</xdr:rowOff>
    </xdr:from>
    <xdr:to>
      <xdr:col>10</xdr:col>
      <xdr:colOff>381000</xdr:colOff>
      <xdr:row>11</xdr:row>
      <xdr:rowOff>133351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8BE16B1D-0AB1-42E3-A0E3-C10D9BA38239}"/>
            </a:ext>
          </a:extLst>
        </xdr:cNvPr>
        <xdr:cNvGrpSpPr/>
      </xdr:nvGrpSpPr>
      <xdr:grpSpPr>
        <a:xfrm>
          <a:off x="7048499" y="1171576"/>
          <a:ext cx="2952751" cy="990600"/>
          <a:chOff x="5190527" y="2693494"/>
          <a:chExt cx="2524720" cy="992682"/>
        </a:xfrm>
      </xdr:grpSpPr>
      <xdr:sp macro="" textlink="C̳álculos!C17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944A3E84-10B7-4630-B24F-C2047908FE17}"/>
              </a:ext>
            </a:extLst>
          </xdr:cNvPr>
          <xdr:cNvSpPr/>
        </xdr:nvSpPr>
        <xdr:spPr>
          <a:xfrm>
            <a:off x="5191122" y="2695576"/>
            <a:ext cx="2524125" cy="990600"/>
          </a:xfrm>
          <a:prstGeom prst="roundRect">
            <a:avLst/>
          </a:prstGeom>
          <a:solidFill>
            <a:srgbClr val="24242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89BC24E3-C1F4-4080-9606-B2A55C602525}" type="TxLink">
              <a:rPr lang="en-US" sz="1800" b="0" i="0" u="none" strike="noStrike">
                <a:solidFill>
                  <a:srgbClr val="E0E0E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147</a:t>
            </a:fld>
            <a:endParaRPr lang="en-US" sz="1800" b="0" i="0" u="none" strike="noStrike">
              <a:solidFill>
                <a:srgbClr val="E0E0E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755B4963-F597-434C-81DB-4B9C74DD7F6F}"/>
              </a:ext>
            </a:extLst>
          </xdr:cNvPr>
          <xdr:cNvSpPr/>
        </xdr:nvSpPr>
        <xdr:spPr>
          <a:xfrm>
            <a:off x="5190527" y="2693494"/>
            <a:ext cx="2524720" cy="449221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rgbClr val="E8E6E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rgbClr val="E8E6E9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COM RENOVAÇÃO DESATIVADA</a:t>
            </a:r>
            <a:endParaRPr lang="pt-BR" sz="1100" b="1">
              <a:solidFill>
                <a:srgbClr val="E8E6E9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rton" refreshedDate="46309.50050185185" createdVersion="7" refreshedVersion="7" minRefreshableVersion="3" recordCount="295" xr:uid="{2846FFD9-53BF-4B0D-9A88-81A08FC5402F}">
  <cacheSource type="worksheet">
    <worksheetSource name="tbldesign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83552-234F-4652-A7F3-34612C1CF1B1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:B6" firstHeaderRow="1" firstDataRow="1" firstDataCol="1"/>
  <pivotFields count="13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8DC9C-BE86-47E7-A80A-9E7804A8B616}" name="Tabela dinâ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2:B26" firstHeaderRow="1" firstDataRow="1" firstDataCol="1"/>
  <pivotFields count="13">
    <pivotField dataField="1"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1F270-962C-47DA-ACA2-69689EA598A7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6:B19" firstHeaderRow="1" firstDataRow="1" firstDataCol="1"/>
  <pivotFields count="13">
    <pivotField dataField="1"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5E7C5-11AE-4F01-A066-4DBA2F85AC17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9:B13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design" displayName="tbldesign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10" sqref="D10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" zoomScale="90" zoomScaleNormal="90" workbookViewId="0">
      <selection activeCell="L1" sqref="L1:L104857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C26"/>
  <sheetViews>
    <sheetView showGridLines="0" topLeftCell="A10" workbookViewId="0">
      <selection activeCell="D18" sqref="D18"/>
    </sheetView>
  </sheetViews>
  <sheetFormatPr defaultRowHeight="14.25"/>
  <cols>
    <col min="1" max="1" width="18" bestFit="1" customWidth="1"/>
    <col min="2" max="2" width="25.75" bestFit="1" customWidth="1"/>
    <col min="3" max="3" width="18.375" bestFit="1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1" spans="1:3">
      <c r="A1" t="s">
        <v>317</v>
      </c>
    </row>
    <row r="2" spans="1:3">
      <c r="A2" s="12" t="s">
        <v>313</v>
      </c>
      <c r="B2" t="s">
        <v>315</v>
      </c>
    </row>
    <row r="3" spans="1:3">
      <c r="A3" s="13" t="s">
        <v>22</v>
      </c>
      <c r="B3">
        <v>101</v>
      </c>
    </row>
    <row r="4" spans="1:3">
      <c r="A4" s="13" t="s">
        <v>26</v>
      </c>
      <c r="B4">
        <v>96</v>
      </c>
    </row>
    <row r="5" spans="1:3">
      <c r="A5" s="13" t="s">
        <v>18</v>
      </c>
      <c r="B5">
        <v>98</v>
      </c>
    </row>
    <row r="6" spans="1:3">
      <c r="A6" s="13" t="s">
        <v>314</v>
      </c>
      <c r="B6">
        <v>295</v>
      </c>
      <c r="C6">
        <v>295</v>
      </c>
    </row>
    <row r="8" spans="1:3">
      <c r="A8" t="s">
        <v>318</v>
      </c>
    </row>
    <row r="9" spans="1:3">
      <c r="A9" s="12" t="s">
        <v>313</v>
      </c>
      <c r="B9" t="s">
        <v>316</v>
      </c>
    </row>
    <row r="10" spans="1:3">
      <c r="A10" s="13" t="s">
        <v>22</v>
      </c>
      <c r="B10">
        <v>444</v>
      </c>
    </row>
    <row r="11" spans="1:3">
      <c r="A11" s="13" t="s">
        <v>26</v>
      </c>
      <c r="B11">
        <v>1801</v>
      </c>
    </row>
    <row r="12" spans="1:3">
      <c r="A12" s="13" t="s">
        <v>18</v>
      </c>
      <c r="B12">
        <v>5388</v>
      </c>
    </row>
    <row r="13" spans="1:3">
      <c r="A13" s="13" t="s">
        <v>314</v>
      </c>
      <c r="B13">
        <v>7633</v>
      </c>
      <c r="C13" s="16">
        <v>7633</v>
      </c>
    </row>
    <row r="15" spans="1:3">
      <c r="A15" t="s">
        <v>319</v>
      </c>
    </row>
    <row r="16" spans="1:3">
      <c r="A16" s="12" t="s">
        <v>313</v>
      </c>
      <c r="B16" t="s">
        <v>315</v>
      </c>
      <c r="C16" t="s">
        <v>23</v>
      </c>
    </row>
    <row r="17" spans="1:3">
      <c r="A17" s="13" t="s">
        <v>23</v>
      </c>
      <c r="B17">
        <v>147</v>
      </c>
      <c r="C17">
        <f>COUNTIF(Bases!E2:E296,"No")</f>
        <v>147</v>
      </c>
    </row>
    <row r="18" spans="1:3">
      <c r="A18" s="13" t="s">
        <v>19</v>
      </c>
      <c r="B18">
        <v>148</v>
      </c>
      <c r="C18" t="s">
        <v>321</v>
      </c>
    </row>
    <row r="19" spans="1:3">
      <c r="A19" s="13" t="s">
        <v>314</v>
      </c>
      <c r="B19">
        <v>295</v>
      </c>
      <c r="C19">
        <f>COUNTIF(Bases!E2:E296,"Yes")</f>
        <v>148</v>
      </c>
    </row>
    <row r="21" spans="1:3">
      <c r="A21" t="s">
        <v>320</v>
      </c>
    </row>
    <row r="22" spans="1:3">
      <c r="A22" s="12" t="s">
        <v>313</v>
      </c>
      <c r="B22" t="s">
        <v>315</v>
      </c>
    </row>
    <row r="23" spans="1:3">
      <c r="A23" s="13" t="s">
        <v>24</v>
      </c>
      <c r="B23">
        <v>71</v>
      </c>
    </row>
    <row r="24" spans="1:3">
      <c r="A24" s="13" t="s">
        <v>20</v>
      </c>
      <c r="B24">
        <v>139</v>
      </c>
    </row>
    <row r="25" spans="1:3">
      <c r="A25" s="13" t="s">
        <v>27</v>
      </c>
      <c r="B25">
        <v>85</v>
      </c>
    </row>
    <row r="26" spans="1:3">
      <c r="A26" s="13" t="s">
        <v>314</v>
      </c>
      <c r="B26">
        <v>295</v>
      </c>
      <c r="C26" s="15">
        <f>SUM(Bases!L2:L294)</f>
        <v>2106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5275-DEE4-4759-80C5-BBAFC31E3853}">
  <dimension ref="A1:S30"/>
  <sheetViews>
    <sheetView showGridLines="0" tabSelected="1" workbookViewId="0">
      <selection activeCell="J19" sqref="J19"/>
    </sheetView>
  </sheetViews>
  <sheetFormatPr defaultRowHeight="14.25"/>
  <cols>
    <col min="1" max="19" width="12.625" customWidth="1"/>
  </cols>
  <sheetData>
    <row r="1" spans="1:19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4.2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1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16.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19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19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1:19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19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DC46BA74-F499-44DE-946A-636CB42271B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Bases</vt:lpstr>
      <vt:lpstr>C̳álculos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Rafaela Sommer Gonçalves</cp:lastModifiedBy>
  <dcterms:created xsi:type="dcterms:W3CDTF">2024-12-19T13:13:10Z</dcterms:created>
  <dcterms:modified xsi:type="dcterms:W3CDTF">2026-10-22T15:06:05Z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