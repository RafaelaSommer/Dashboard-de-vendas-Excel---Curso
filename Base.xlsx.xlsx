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17" documentId="13_ncr:1_{8A558CCE-68EB-4CD8-B400-D2E3B1B06940}" xr6:coauthVersionLast="47" xr6:coauthVersionMax="47" xr10:uidLastSave="{A2E70636-AEDD-44BD-BE56-9950B2291362}"/>
  <bookViews>
    <workbookView xWindow="-120" yWindow="-120" windowWidth="20730" windowHeight="11040" activeTab="3" xr2:uid="{28DD5B76-0634-4F87-BE60-8BFA7EF2E23B}"/>
  </bookViews>
  <sheets>
    <sheet name="A̳ssets" sheetId="1" r:id="rId1"/>
    <sheet name="B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  <c r="C17" i="3"/>
  <c r="C26" i="3"/>
</calcChain>
</file>

<file path=xl/sharedStrings.xml><?xml version="1.0" encoding="utf-8"?>
<sst xmlns="http://schemas.openxmlformats.org/spreadsheetml/2006/main" count="2022" uniqueCount="322">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</sst>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171717"/>
      <color rgb="FFE8E6E9"/>
      <color rgb="FFD9D9D9"/>
      <color rgb="FF22C55E"/>
      <color rgb="FF242424"/>
      <color rgb="FF0B3D24"/>
      <color rgb="FFF7F8FC"/>
      <color rgb="FF156082"/>
      <color rgb="FF5BF6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</xdr:row>
      <xdr:rowOff>19050</xdr:rowOff>
    </xdr:from>
    <xdr:to>
      <xdr:col>10</xdr:col>
      <xdr:colOff>371474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599" y="200025"/>
          <a:ext cx="9001125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4</xdr:col>
      <xdr:colOff>76200</xdr:colOff>
      <xdr:row>6</xdr:row>
      <xdr:rowOff>28576</xdr:rowOff>
    </xdr:from>
    <xdr:to>
      <xdr:col>6</xdr:col>
      <xdr:colOff>885825</xdr:colOff>
      <xdr:row>11</xdr:row>
      <xdr:rowOff>152400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3924300" y="1152526"/>
          <a:ext cx="2733675" cy="1028699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85726</xdr:colOff>
      <xdr:row>6</xdr:row>
      <xdr:rowOff>76199</xdr:rowOff>
    </xdr:from>
    <xdr:to>
      <xdr:col>3</xdr:col>
      <xdr:colOff>571502</xdr:colOff>
      <xdr:row>11</xdr:row>
      <xdr:rowOff>161923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047751" y="1200149"/>
          <a:ext cx="2409826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2</xdr:col>
      <xdr:colOff>247650</xdr:colOff>
      <xdr:row>15</xdr:row>
      <xdr:rowOff>9525</xdr:rowOff>
    </xdr:from>
    <xdr:to>
      <xdr:col>5</xdr:col>
      <xdr:colOff>66675</xdr:colOff>
      <xdr:row>20</xdr:row>
      <xdr:rowOff>142875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07A74A89-9647-416D-999C-610C4E73E218}"/>
            </a:ext>
          </a:extLst>
        </xdr:cNvPr>
        <xdr:cNvGrpSpPr/>
      </xdr:nvGrpSpPr>
      <xdr:grpSpPr>
        <a:xfrm>
          <a:off x="2171700" y="2762250"/>
          <a:ext cx="2705100" cy="1038225"/>
          <a:chOff x="3762375" y="1163698"/>
          <a:chExt cx="1962151" cy="676275"/>
        </a:xfrm>
      </xdr:grpSpPr>
      <xdr:sp macro="" textlink="C̳álculos!C26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  <xdr:twoCellAnchor>
    <xdr:from>
      <xdr:col>5</xdr:col>
      <xdr:colOff>914400</xdr:colOff>
      <xdr:row>14</xdr:row>
      <xdr:rowOff>152401</xdr:rowOff>
    </xdr:from>
    <xdr:to>
      <xdr:col>8</xdr:col>
      <xdr:colOff>771526</xdr:colOff>
      <xdr:row>20</xdr:row>
      <xdr:rowOff>76199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BF1006E2-FA1F-40C5-A693-06B3075A127D}"/>
            </a:ext>
          </a:extLst>
        </xdr:cNvPr>
        <xdr:cNvGrpSpPr/>
      </xdr:nvGrpSpPr>
      <xdr:grpSpPr>
        <a:xfrm>
          <a:off x="5724525" y="2724151"/>
          <a:ext cx="2743201" cy="1009648"/>
          <a:chOff x="5173413" y="2676526"/>
          <a:chExt cx="2550694" cy="1009648"/>
        </a:xfrm>
      </xdr:grpSpPr>
      <xdr:sp macro="" textlink="C̳álculos!C19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B3E25F3C-AEBC-4A06-909E-F6E86191CEE3}"/>
              </a:ext>
            </a:extLst>
          </xdr:cNvPr>
          <xdr:cNvSpPr/>
        </xdr:nvSpPr>
        <xdr:spPr>
          <a:xfrm>
            <a:off x="5191122" y="2695575"/>
            <a:ext cx="2524124" cy="990599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D13773D1-4D77-4904-B2AC-AB944B077BEB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148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202024F3-A33C-4E55-97D4-9EB8EE802364}"/>
              </a:ext>
            </a:extLst>
          </xdr:cNvPr>
          <xdr:cNvSpPr/>
        </xdr:nvSpPr>
        <xdr:spPr>
          <a:xfrm>
            <a:off x="5173413" y="2676526"/>
            <a:ext cx="2550694" cy="475714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7</xdr:col>
      <xdr:colOff>314324</xdr:colOff>
      <xdr:row>6</xdr:row>
      <xdr:rowOff>47626</xdr:rowOff>
    </xdr:from>
    <xdr:to>
      <xdr:col>10</xdr:col>
      <xdr:colOff>381000</xdr:colOff>
      <xdr:row>11</xdr:row>
      <xdr:rowOff>133351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8BE16B1D-0AB1-42E3-A0E3-C10D9BA38239}"/>
            </a:ext>
          </a:extLst>
        </xdr:cNvPr>
        <xdr:cNvGrpSpPr/>
      </xdr:nvGrpSpPr>
      <xdr:grpSpPr>
        <a:xfrm>
          <a:off x="7048499" y="1171576"/>
          <a:ext cx="2952751" cy="990600"/>
          <a:chOff x="5190527" y="2693494"/>
          <a:chExt cx="2524720" cy="992682"/>
        </a:xfrm>
      </xdr:grpSpPr>
      <xdr:sp macro="" textlink="C̳álculos!C17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944A3E84-10B7-4630-B24F-C2047908FE17}"/>
              </a:ext>
            </a:extLst>
          </xdr:cNvPr>
          <xdr:cNvSpPr/>
        </xdr:nvSpPr>
        <xdr:spPr>
          <a:xfrm>
            <a:off x="5191122" y="2695576"/>
            <a:ext cx="2524125" cy="990600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89BC24E3-C1F4-4080-9606-B2A55C602525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147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7" name="Retângulo: Cantos Arredondados 26">
            <a:extLst>
              <a:ext uri="{FF2B5EF4-FFF2-40B4-BE49-F238E27FC236}">
                <a16:creationId xmlns:a16="http://schemas.microsoft.com/office/drawing/2014/main" id="{755B4963-F597-434C-81DB-4B9C74DD7F6F}"/>
              </a:ext>
            </a:extLst>
          </xdr:cNvPr>
          <xdr:cNvSpPr/>
        </xdr:nvSpPr>
        <xdr:spPr>
          <a:xfrm>
            <a:off x="5190527" y="2693494"/>
            <a:ext cx="2524720" cy="449221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DESATIVADA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topLeftCell="A10" workbookViewId="0">
      <selection activeCell="D18" sqref="D18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  <c r="C16" t="s">
        <v>23</v>
      </c>
    </row>
    <row r="17" spans="1:3">
      <c r="A17" s="13" t="s">
        <v>23</v>
      </c>
      <c r="B17">
        <v>147</v>
      </c>
      <c r="C17">
        <f>COUNTIF(Bases!E2:E296,"No")</f>
        <v>147</v>
      </c>
    </row>
    <row r="18" spans="1:3">
      <c r="A18" s="13" t="s">
        <v>19</v>
      </c>
      <c r="B18">
        <v>148</v>
      </c>
      <c r="C18" t="s">
        <v>321</v>
      </c>
    </row>
    <row r="19" spans="1:3">
      <c r="A19" s="13" t="s">
        <v>314</v>
      </c>
      <c r="B19">
        <v>295</v>
      </c>
      <c r="C19">
        <f>COUNTIF(Bases!E2:E296,"Yes")</f>
        <v>148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  <c r="C26" s="15">
        <f>SUM(Bases!L2:L294)</f>
        <v>2106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30"/>
  <sheetViews>
    <sheetView showGridLines="0" tabSelected="1" topLeftCell="A4" workbookViewId="0">
      <selection activeCell="L19" sqref="L19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2026-10-22T15:04:59Z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