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11786601a6d3946/Desktop/"/>
    </mc:Choice>
  </mc:AlternateContent>
  <xr:revisionPtr revIDLastSave="1" documentId="8_{82CB065B-7778-45CB-8530-1535B45A08F0}" xr6:coauthVersionLast="47" xr6:coauthVersionMax="47" xr10:uidLastSave="{B2A8A18C-561B-49DA-B74F-3C9550BF9AE5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ases" sheetId="2" state="hidden" r:id="rId2"/>
    <sheet name="C̳álculos" sheetId="3" state="hidden" r:id="rId3"/>
    <sheet name="Dashboard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" l="1"/>
  <c r="C26" i="3"/>
</calcChain>
</file>

<file path=xl/sharedStrings.xml><?xml version="1.0" encoding="utf-8"?>
<sst xmlns="http://schemas.openxmlformats.org/spreadsheetml/2006/main" count="2020" uniqueCount="321">
  <si>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</si>
  <si>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</si>
  <si>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</si>
  <si>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</si>
  <si>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</si>
  <si>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</si>
  <si>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</si>
  <si>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</si>
  <si>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</si>
  <si>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</si>
  <si>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</si>
  <si>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</si>
  <si>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</si>
  <si>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</si>
  <si>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</si>
  <si>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</si>
  <si>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</si>
  <si>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</si>
  <si>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</si>
  <si>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</si>
  <si>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</si>
  <si>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</si>
  <si>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</si>
  <si>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</si>
  <si>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</si>
  <si>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</si>
  <si>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</si>
  <si>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</si>
  <si>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</si>
  <si>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</si>
  <si>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</si>
  <si>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</si>
  <si>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</si>
  <si>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</si>
  <si>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</si>
  <si>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</si>
  <si>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</si>
  <si>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</si>
  <si>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</si>
  <si>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</si>
  <si>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</si>
  <si>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</si>
  <si>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</si>
  <si>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</si>
  <si>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</si>
  <si>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</si>
  <si>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</si>
  <si>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</si>
  <si>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</si>
  <si>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</si>
  <si>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</si>
  <si>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</si>
  <si>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</si>
  <si>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</si>
  <si>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</si>
  <si>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</si>
  <si>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</si>
  <si>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</si>
  <si>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</si>
  <si>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</si>
  <si>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</si>
  <si>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</si>
  <si>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</si>
  <si>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</si>
  <si>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</si>
  <si>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</si>
  <si>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</si>
  <si>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</si>
  <si>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</si>
  <si>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</si>
  <si>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</si>
  <si>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</si>
  <si>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</si>
  <si>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</si>
  <si>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</si>
  <si>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</si>
  <si>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</si>
  <si>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</si>
  <si>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</si>
  <si>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</si>
  <si>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</si>
  <si>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</si>
  <si>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</si>
  <si>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</si>
  <si>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</si>
  <si>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</si>
  <si>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</si>
  <si>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</si>
  <si>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</si>
  <si>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</si>
  <si>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</si>
  <si>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</si>
  <si>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</si>
  <si>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</si>
  <si>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</si>
  <si>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</si>
  <si>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</si>
  <si>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</si>
  <si>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</si>
  <si>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</si>
  <si>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</si>
  <si>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</si>
  <si>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</si>
  <si>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</si>
  <si>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</si>
  <si>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</si>
  <si>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</si>
  <si>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</si>
  <si>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</si>
  <si>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</si>
  <si>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</si>
  <si>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</si>
  <si>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</si>
  <si>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</si>
  <si>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</si>
  <si>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</si>
  <si>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</si>
  <si>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</si>
  <si>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</si>
  <si>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</si>
  <si>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</si>
  <si>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</si>
  <si>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</si>
  <si>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</si>
  <si>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</si>
  <si>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</si>
  <si>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</si>
  <si>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</si>
  <si>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</si>
  <si>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</si>
  <si>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</si>
  <si>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</si>
  <si>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</si>
  <si>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</si>
  <si>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</si>
  <si>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</si>
  <si>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</si>
  <si>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</si>
  <si>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</si>
  <si>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</si>
  <si>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</si>
  <si>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</si>
  <si>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</si>
  <si>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</si>
  <si>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</si>
  <si>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</si>
  <si>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</si>
  <si>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</si>
  <si>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</si>
  <si>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</si>
  <si>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</si>
  <si>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</si>
  <si>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</si>
  <si>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</si>
  <si>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</si>
  <si>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</si>
  <si>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</si>
  <si>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</si>
  <si>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</si>
  <si>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</si>
  <si>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</si>
  <si>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</si>
  <si>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</si>
  <si>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</si>
  <si>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</si>
  <si>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</si>
  <si>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</si>
  <si>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</si>
  <si>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</si>
  <si>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</si>
  <si>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</si>
  <si>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</si>
  <si>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</si>
  <si>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</si>
  <si>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</si>
  <si>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</si>
  <si>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</si>
  <si>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</si>
  <si>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</si>
  <si>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</si>
  <si>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</si>
  <si>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</si>
  <si>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</si>
  <si>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</si>
  <si>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</si>
  <si>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</si>
  <si>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</si>
  <si>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</si>
  <si>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</si>
  <si>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</si>
  <si>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</si>
  <si>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</si>
  <si>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</si>
  <si>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</si>
  <si>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</si>
  <si>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</si>
  <si>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</si>
  <si>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</si>
  <si>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</si>
  <si>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</si>
  <si>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</si>
  <si>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</si>
  <si>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</si>
  <si>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</si>
  <si>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</si>
  <si>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</si>
  <si>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</si>
  <si>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</si>
  <si>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</si>
  <si>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</si>
  <si>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</si>
  <si>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</si>
  <si>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</si>
  <si>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</si>
  <si>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</si>
  <si>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</si>
  <si>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</si>
  <si>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</si>
  <si>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</si>
  <si>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</si>
  <si>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</si>
  <si>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</si>
  <si>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</si>
  <si>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</si>
  <si>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</si>
  <si>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</si>
  <si>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</si>
  <si>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</si>
  <si>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</si>
  <si>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</si>
  <si>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</si>
  <si>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</si>
  <si>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</si>
  <si>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</si>
  <si>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</si>
  <si>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</si>
  <si>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</si>
  <si>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</si>
  <si>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</si>
  <si>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</si>
  <si>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</si>
  <si>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</si>
  <si>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</si>
  <si>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</si>
  <si>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</si>
  <si>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</si>
  <si>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</si>
  <si>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</si>
  <si>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</si>
  <si>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</si>
  <si>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</si>
  <si>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</si>
  <si>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</si>
  <si>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</si>
  <si>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</si>
  <si>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</si>
  <si>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</si>
  <si>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</si>
  <si>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</si>
  <si>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</si>
  <si>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</si>
  <si>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</si>
  <si>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</si>
  <si>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</si>
  <si>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</si>
  <si>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</si>
  <si>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</si>
  <si>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</si>
  <si>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</si>
  <si>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</si>
  <si>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</si>
  <si>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</si>
  <si>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</si>
  <si>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</si>
  <si>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</si>
  <si>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</si>
  <si>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</si>
  <si>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</si>
  <si>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</si>
  <si>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</si>
  <si>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</si>
  <si>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</si>
  <si>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</si>
  <si>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</si>
  <si>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</si>
  <si>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</si>
  <si>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</si>
  <si>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</si>
  <si>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</si>
  <si>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</si>
  <si>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</si>
  <si>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</si>
  <si>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</si>
  <si>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</si>
  <si>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</si>
  <si>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</si>
  <si>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</si>
  <si>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</si>
  <si>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</si>
  <si>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</si>
  <si>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</si>
  <si>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</si>
  <si>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</si>
  <si>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</si>
  <si>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</si>
  <si>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</si>
  <si>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</si>
  <si>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</si>
  <si>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</si>
  <si>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</si>
  <si>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</si>
  <si>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</si>
  <si>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</si>
  <si>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</si>
  <si>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</si>
  <si>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Subscriber ID</t>
  </si>
  <si>
    <t>Soma de Total Value</t>
  </si>
  <si>
    <t>Tabela 1 — Assinantes por plano</t>
  </si>
  <si>
    <t>Tabela 2 — Receita por plano</t>
  </si>
  <si>
    <t>Tabela 3 — Renovação automática</t>
  </si>
  <si>
    <t>Tabela 4 — Assinaturas por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</si>
</sst>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44" fontId="0" fillId="0" borderId="0" xfId="0" applyNumberFormat="1"/>
    <xf numFmtId="44" fontId="0" fillId="0" borderId="0" xfId="2" applyFont="1"/>
    <xf numFmtId="9" fontId="0" fillId="0" borderId="0" xfId="3" applyFont="1"/>
    <xf numFmtId="0" fontId="4" fillId="8" borderId="0" xfId="0" applyFont="1" applyFill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07C41"/>
      <color rgb="FF35B86B"/>
      <color rgb="FF7CFC98"/>
      <color rgb="FFF7F8FC"/>
      <color rgb="FF21A653"/>
      <color rgb="FF737B78"/>
      <color rgb="FFA5DDB8"/>
      <color rgb="FF42B883"/>
      <color rgb="FFE07A5F"/>
      <color rgb="FF52B7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C̳álculos!$A$10:$A$13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C̳álculos!$B$10:$B$13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F-4385-B3F2-46BFCCD74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6795408"/>
        <c:axId val="1926795824"/>
      </c:barChart>
      <c:catAx>
        <c:axId val="192679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6795824"/>
        <c:crosses val="autoZero"/>
        <c:auto val="1"/>
        <c:lblAlgn val="ctr"/>
        <c:lblOffset val="100"/>
        <c:noMultiLvlLbl val="0"/>
      </c:catAx>
      <c:valAx>
        <c:axId val="19267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67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F7F8FC"/>
                </a:solidFill>
              </a:rPr>
              <a:t>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37B78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21A65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37B7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80-4602-B748-10E7D323925E}"/>
              </c:ext>
            </c:extLst>
          </c:dPt>
          <c:dPt>
            <c:idx val="1"/>
            <c:bubble3D val="0"/>
            <c:spPr>
              <a:solidFill>
                <a:srgbClr val="21A6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0-4602-B748-10E7D323925E}"/>
              </c:ext>
            </c:extLst>
          </c:dPt>
          <c:cat>
            <c:strRef>
              <c:f>C̳álculos!$A$17:$A$19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C̳álculos!$B$17:$B$19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80-4602-B748-10E7D3239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80" b="0" i="0" u="none" strike="noStrike" kern="1200" baseline="0">
                <a:solidFill>
                  <a:srgbClr val="F7F8FC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80" b="0" i="0" u="none" strike="noStrike" kern="1200" baseline="0">
                <a:solidFill>
                  <a:srgbClr val="F7F8FC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81681600760863693"/>
          <c:y val="0.42944900098869171"/>
          <c:w val="8.3438442652947392E-2"/>
          <c:h val="0.174752300245343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baseline="0">
              <a:solidFill>
                <a:srgbClr val="F7F8FC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7171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7F8FC"/>
                </a:solidFill>
              </a:rPr>
              <a:t>Assinantes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07C4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42B88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A5DDB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07C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7D-4EEA-8AEA-E75881B2FFD6}"/>
              </c:ext>
            </c:extLst>
          </c:dPt>
          <c:dPt>
            <c:idx val="1"/>
            <c:bubble3D val="0"/>
            <c:spPr>
              <a:solidFill>
                <a:srgbClr val="42B8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7D-4EEA-8AEA-E75881B2FFD6}"/>
              </c:ext>
            </c:extLst>
          </c:dPt>
          <c:dPt>
            <c:idx val="2"/>
            <c:bubble3D val="0"/>
            <c:spPr>
              <a:solidFill>
                <a:srgbClr val="A5DDB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7D-4EEA-8AEA-E75881B2FFD6}"/>
              </c:ext>
            </c:extLst>
          </c:dPt>
          <c:cat>
            <c:strRef>
              <c:f>C̳álculos!$A$23:$A$26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C̳álculos!$B$23:$B$26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7D-4EEA-8AEA-E75881B2F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45873700725275"/>
          <c:y val="0.34135316418780992"/>
          <c:w val="0.17156779135042308"/>
          <c:h val="0.35474701079031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baseline="0">
              <a:solidFill>
                <a:srgbClr val="F7F8FC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7171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7F8FC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CFC98"/>
          </a:solidFill>
          <a:ln>
            <a:noFill/>
          </a:ln>
          <a:effectLst/>
        </c:spPr>
      </c:pivotFmt>
      <c:pivotFmt>
        <c:idx val="4"/>
        <c:spPr>
          <a:solidFill>
            <a:srgbClr val="35B86B"/>
          </a:solidFill>
          <a:ln>
            <a:noFill/>
          </a:ln>
          <a:effectLst/>
        </c:spPr>
      </c:pivotFmt>
      <c:pivotFmt>
        <c:idx val="5"/>
        <c:spPr>
          <a:solidFill>
            <a:srgbClr val="107C4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7C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E50-440B-A781-96992C9AAC21}"/>
              </c:ext>
            </c:extLst>
          </c:dPt>
          <c:dPt>
            <c:idx val="1"/>
            <c:invertIfNegative val="0"/>
            <c:bubble3D val="0"/>
            <c:spPr>
              <a:solidFill>
                <a:srgbClr val="35B8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50-440B-A781-96992C9AAC21}"/>
              </c:ext>
            </c:extLst>
          </c:dPt>
          <c:dPt>
            <c:idx val="2"/>
            <c:invertIfNegative val="0"/>
            <c:bubble3D val="0"/>
            <c:spPr>
              <a:solidFill>
                <a:srgbClr val="7CFC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50-440B-A781-96992C9AAC21}"/>
              </c:ext>
            </c:extLst>
          </c:dPt>
          <c:cat>
            <c:strRef>
              <c:f>C̳álculos!$A$10:$A$13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C̳álculos!$B$10:$B$13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0-440B-A781-96992C9AA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6795408"/>
        <c:axId val="1926795824"/>
      </c:barChart>
      <c:catAx>
        <c:axId val="192679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30" b="0" i="0" u="none" strike="noStrike" kern="1200" baseline="0">
                <a:solidFill>
                  <a:srgbClr val="F7F8FC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926795824"/>
        <c:crosses val="autoZero"/>
        <c:auto val="1"/>
        <c:lblAlgn val="ctr"/>
        <c:lblOffset val="100"/>
        <c:noMultiLvlLbl val="0"/>
      </c:catAx>
      <c:valAx>
        <c:axId val="19267958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30" b="0" i="0" u="none" strike="noStrike" kern="1200" baseline="0">
                <a:solidFill>
                  <a:srgbClr val="F7F8FC"/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9267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30" b="0" i="0" u="none" strike="noStrike" kern="1200" baseline="0">
              <a:solidFill>
                <a:srgbClr val="F7F8FC"/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4242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1057275</xdr:colOff>
      <xdr:row>5</xdr:row>
      <xdr:rowOff>138112</xdr:rowOff>
    </xdr:from>
    <xdr:to>
      <xdr:col>3</xdr:col>
      <xdr:colOff>2266950</xdr:colOff>
      <xdr:row>20</xdr:row>
      <xdr:rowOff>166687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FD279C4-2AA6-4511-8A04-93BF4D99B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19050</xdr:rowOff>
    </xdr:from>
    <xdr:to>
      <xdr:col>12</xdr:col>
      <xdr:colOff>876300</xdr:colOff>
      <xdr:row>5</xdr:row>
      <xdr:rowOff>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AFDC177-74FA-409D-A7A8-755FB1034058}"/>
            </a:ext>
          </a:extLst>
        </xdr:cNvPr>
        <xdr:cNvSpPr/>
      </xdr:nvSpPr>
      <xdr:spPr>
        <a:xfrm>
          <a:off x="990599" y="200025"/>
          <a:ext cx="11430001" cy="742950"/>
        </a:xfrm>
        <a:prstGeom prst="roundRect">
          <a:avLst/>
        </a:prstGeom>
        <a:solidFill>
          <a:srgbClr val="0B3D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            XBOX GAME PASS | DASHBOARD</a:t>
          </a:r>
        </a:p>
        <a:p>
          <a:pPr algn="l"/>
          <a:r>
            <a:rPr lang="pt-BR" sz="1200">
              <a:solidFill>
                <a:srgbClr val="E0E0E0"/>
              </a:solidFill>
            </a:rPr>
            <a:t>                         </a:t>
          </a:r>
          <a:r>
            <a:rPr lang="pt-BR" sz="11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rPr>
            <a:t>Panorama de assinaturas e receita</a:t>
          </a:r>
        </a:p>
      </xdr:txBody>
    </xdr:sp>
    <xdr:clientData/>
  </xdr:twoCellAnchor>
  <xdr:twoCellAnchor editAs="oneCell">
    <xdr:from>
      <xdr:col>1</xdr:col>
      <xdr:colOff>257175</xdr:colOff>
      <xdr:row>1</xdr:row>
      <xdr:rowOff>161925</xdr:rowOff>
    </xdr:from>
    <xdr:to>
      <xdr:col>1</xdr:col>
      <xdr:colOff>781050</xdr:colOff>
      <xdr:row>4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E921AA-E1C0-4BF5-A097-1E0483414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307" b="-1143"/>
        <a:stretch/>
      </xdr:blipFill>
      <xdr:spPr>
        <a:xfrm>
          <a:off x="1219200" y="342900"/>
          <a:ext cx="523875" cy="438150"/>
        </a:xfrm>
        <a:prstGeom prst="rect">
          <a:avLst/>
        </a:prstGeom>
      </xdr:spPr>
    </xdr:pic>
    <xdr:clientData/>
  </xdr:twoCellAnchor>
  <xdr:twoCellAnchor>
    <xdr:from>
      <xdr:col>3</xdr:col>
      <xdr:colOff>850446</xdr:colOff>
      <xdr:row>6</xdr:row>
      <xdr:rowOff>1361</xdr:rowOff>
    </xdr:from>
    <xdr:to>
      <xdr:col>6</xdr:col>
      <xdr:colOff>698046</xdr:colOff>
      <xdr:row>11</xdr:row>
      <xdr:rowOff>121103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CC06F7E-C124-42B7-B763-17405D6E3D67}"/>
            </a:ext>
          </a:extLst>
        </xdr:cNvPr>
        <xdr:cNvGrpSpPr/>
      </xdr:nvGrpSpPr>
      <xdr:grpSpPr>
        <a:xfrm>
          <a:off x="3748767" y="1103540"/>
          <a:ext cx="2745922" cy="1004206"/>
          <a:chOff x="3695700" y="1228725"/>
          <a:chExt cx="1952625" cy="676275"/>
        </a:xfrm>
      </xdr:grpSpPr>
      <xdr:sp macro="" textlink="C̳álculos!C13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DDFBB87-B626-4AEC-A2D2-9511A118D109}"/>
              </a:ext>
            </a:extLst>
          </xdr:cNvPr>
          <xdr:cNvSpPr/>
        </xdr:nvSpPr>
        <xdr:spPr>
          <a:xfrm>
            <a:off x="3695700" y="1228725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E712152-8E14-4D97-86FD-3DD04F6E4D24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R$ 7.633,00 </a:t>
            </a:fld>
            <a:endParaRPr lang="pt-BR" sz="18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524D522-A627-44D8-AC28-8B7CE909363B}"/>
              </a:ext>
            </a:extLst>
          </xdr:cNvPr>
          <xdr:cNvSpPr/>
        </xdr:nvSpPr>
        <xdr:spPr>
          <a:xfrm>
            <a:off x="3695700" y="1228725"/>
            <a:ext cx="1952625" cy="28575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100" b="1" baseline="0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TOTAL</a:t>
            </a:r>
            <a:endParaRPr lang="pt-BR" sz="1100" b="1">
              <a:solidFill>
                <a:srgbClr val="E8E6E9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81643</xdr:colOff>
      <xdr:row>5</xdr:row>
      <xdr:rowOff>168728</xdr:rowOff>
    </xdr:from>
    <xdr:to>
      <xdr:col>3</xdr:col>
      <xdr:colOff>552452</xdr:colOff>
      <xdr:row>11</xdr:row>
      <xdr:rowOff>119744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BC7775B-C3A2-4D11-9317-2D7CE444A84A}"/>
            </a:ext>
          </a:extLst>
        </xdr:cNvPr>
        <xdr:cNvGrpSpPr/>
      </xdr:nvGrpSpPr>
      <xdr:grpSpPr>
        <a:xfrm>
          <a:off x="1047750" y="1094014"/>
          <a:ext cx="2403023" cy="1012373"/>
          <a:chOff x="3762375" y="1163698"/>
          <a:chExt cx="1962151" cy="676275"/>
        </a:xfrm>
      </xdr:grpSpPr>
      <xdr:sp macro="" textlink="C̳álculos!C6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08E3AF7-6570-4CE1-AA19-68B13172D5EB}"/>
              </a:ext>
            </a:extLst>
          </xdr:cNvPr>
          <xdr:cNvSpPr/>
        </xdr:nvSpPr>
        <xdr:spPr>
          <a:xfrm>
            <a:off x="3762375" y="1163698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60E1D8B-003A-47F2-B161-548C67407966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pt-BR" sz="18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EA7B1E8-F5B1-45AE-AF6A-3FDDA74B0FB2}"/>
              </a:ext>
            </a:extLst>
          </xdr:cNvPr>
          <xdr:cNvSpPr/>
        </xdr:nvSpPr>
        <xdr:spPr>
          <a:xfrm>
            <a:off x="3762376" y="1163699"/>
            <a:ext cx="1962150" cy="29225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ASSINANTES</a:t>
            </a:r>
          </a:p>
        </xdr:txBody>
      </xdr:sp>
    </xdr:grpSp>
    <xdr:clientData/>
  </xdr:twoCellAnchor>
  <xdr:twoCellAnchor>
    <xdr:from>
      <xdr:col>6</xdr:col>
      <xdr:colOff>931189</xdr:colOff>
      <xdr:row>6</xdr:row>
      <xdr:rowOff>1361</xdr:rowOff>
    </xdr:from>
    <xdr:to>
      <xdr:col>9</xdr:col>
      <xdr:colOff>750213</xdr:colOff>
      <xdr:row>11</xdr:row>
      <xdr:rowOff>130629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72FC7CE8-0FB7-4FC0-B2B0-09122F4CE405}"/>
            </a:ext>
          </a:extLst>
        </xdr:cNvPr>
        <xdr:cNvGrpSpPr/>
      </xdr:nvGrpSpPr>
      <xdr:grpSpPr>
        <a:xfrm>
          <a:off x="6727832" y="1103540"/>
          <a:ext cx="2717345" cy="1013732"/>
          <a:chOff x="6696077" y="1085850"/>
          <a:chExt cx="2705099" cy="1038225"/>
        </a:xfrm>
      </xdr:grpSpPr>
      <xdr:sp macro="" textlink="C̳álculos!C26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47C0F199-035D-4D58-B1D4-717E4797CE81}"/>
              </a:ext>
            </a:extLst>
          </xdr:cNvPr>
          <xdr:cNvSpPr/>
        </xdr:nvSpPr>
        <xdr:spPr>
          <a:xfrm>
            <a:off x="6705601" y="1085850"/>
            <a:ext cx="2691967" cy="103822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7752D17-237A-4B29-9FC2-BBB163B6CCAE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R$ 2.106,00 </a:t>
            </a:fld>
            <a:endParaRPr lang="en-US" sz="1800" b="0" i="0" u="none" strike="noStrike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925A6B89-C54D-4495-BE9D-EC889D2D8ABA}"/>
              </a:ext>
            </a:extLst>
          </xdr:cNvPr>
          <xdr:cNvSpPr/>
        </xdr:nvSpPr>
        <xdr:spPr>
          <a:xfrm>
            <a:off x="6696077" y="1085852"/>
            <a:ext cx="2705099" cy="44867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CUPONS</a:t>
            </a:r>
          </a:p>
        </xdr:txBody>
      </xdr:sp>
    </xdr:grpSp>
    <xdr:clientData/>
  </xdr:twoCellAnchor>
  <xdr:twoCellAnchor>
    <xdr:from>
      <xdr:col>9</xdr:col>
      <xdr:colOff>962025</xdr:colOff>
      <xdr:row>5</xdr:row>
      <xdr:rowOff>168728</xdr:rowOff>
    </xdr:from>
    <xdr:to>
      <xdr:col>12</xdr:col>
      <xdr:colOff>776968</xdr:colOff>
      <xdr:row>11</xdr:row>
      <xdr:rowOff>121103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3FA1D19F-9E11-4420-86CD-79B237D2D506}"/>
            </a:ext>
          </a:extLst>
        </xdr:cNvPr>
        <xdr:cNvGrpSpPr/>
      </xdr:nvGrpSpPr>
      <xdr:grpSpPr>
        <a:xfrm>
          <a:off x="9656989" y="1094014"/>
          <a:ext cx="2713265" cy="1013732"/>
          <a:chOff x="3762375" y="1163698"/>
          <a:chExt cx="1962151" cy="676275"/>
        </a:xfrm>
      </xdr:grpSpPr>
      <xdr:sp macro="" textlink="C̳álculos!C19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6456CC4C-AC32-4389-A502-B086A0183402}"/>
              </a:ext>
            </a:extLst>
          </xdr:cNvPr>
          <xdr:cNvSpPr/>
        </xdr:nvSpPr>
        <xdr:spPr>
          <a:xfrm>
            <a:off x="3762375" y="1163698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2AE9551-02BD-4BCF-8049-CD0D24D04586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13%</a:t>
            </a:fld>
            <a:endParaRPr lang="en-US" sz="1800" b="0" i="0" u="none" strike="noStrike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4E90775F-827A-405F-A8F4-5DDB611DA739}"/>
              </a:ext>
            </a:extLst>
          </xdr:cNvPr>
          <xdr:cNvSpPr/>
        </xdr:nvSpPr>
        <xdr:spPr>
          <a:xfrm>
            <a:off x="3762376" y="1163699"/>
            <a:ext cx="1962150" cy="29225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RENOVAÇÃO AUTOMÁTICA</a:t>
            </a:r>
          </a:p>
        </xdr:txBody>
      </xdr:sp>
    </xdr:grpSp>
    <xdr:clientData/>
  </xdr:twoCellAnchor>
  <xdr:twoCellAnchor>
    <xdr:from>
      <xdr:col>7</xdr:col>
      <xdr:colOff>244929</xdr:colOff>
      <xdr:row>12</xdr:row>
      <xdr:rowOff>136071</xdr:rowOff>
    </xdr:from>
    <xdr:to>
      <xdr:col>12</xdr:col>
      <xdr:colOff>762000</xdr:colOff>
      <xdr:row>29</xdr:row>
      <xdr:rowOff>68036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611D1DE1-06E7-4BC9-AE7A-FEA43A57C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81643</xdr:colOff>
      <xdr:row>12</xdr:row>
      <xdr:rowOff>136071</xdr:rowOff>
    </xdr:from>
    <xdr:to>
      <xdr:col>6</xdr:col>
      <xdr:colOff>721178</xdr:colOff>
      <xdr:row>29</xdr:row>
      <xdr:rowOff>81643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B122DDB3-B31E-4DF3-A06A-A25456A7D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81643</xdr:colOff>
      <xdr:row>31</xdr:row>
      <xdr:rowOff>163286</xdr:rowOff>
    </xdr:from>
    <xdr:to>
      <xdr:col>12</xdr:col>
      <xdr:colOff>776967</xdr:colOff>
      <xdr:row>47</xdr:row>
      <xdr:rowOff>76200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70EA741-D83B-46F7-B93E-79D6A040D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rton" refreshedDate="46309.50050185185" createdVersion="7" refreshedVersion="7" minRefreshableVersion="3" recordCount="295" xr:uid="{2846FFD9-53BF-4B0D-9A88-81A08FC5402F}">
  <cacheSource type="worksheet">
    <worksheetSource name="tbldesign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8DC9C-BE86-47E7-A80A-9E7804A8B616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2:B26" firstHeaderRow="1" firstDataRow="1" firstDataCol="1"/>
  <pivotFields count="13">
    <pivotField dataField="1"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6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1F270-962C-47DA-ACA2-69689EA598A7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16:B19" firstHeaderRow="1" firstDataRow="1" firstDataCol="1"/>
  <pivotFields count="13">
    <pivotField dataField="1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5E7C5-11AE-4F01-A066-4DBA2F85AC17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9:B13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83552-234F-4652-A7F3-34612C1CF1B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2:B6" firstHeaderRow="1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design" displayName="tbldesign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10" sqref="D10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L1" sqref="L1:L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6"/>
  <sheetViews>
    <sheetView showGridLines="0" topLeftCell="A4" workbookViewId="0">
      <selection activeCell="A9" sqref="A9:B13"/>
    </sheetView>
  </sheetViews>
  <sheetFormatPr defaultRowHeight="14.25"/>
  <cols>
    <col min="1" max="1" width="18" bestFit="1" customWidth="1"/>
    <col min="2" max="2" width="25.75" bestFit="1" customWidth="1"/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1:3">
      <c r="A1" t="s">
        <v>317</v>
      </c>
    </row>
    <row r="2" spans="1:3">
      <c r="A2" s="12" t="s">
        <v>313</v>
      </c>
      <c r="B2" t="s">
        <v>315</v>
      </c>
    </row>
    <row r="3" spans="1:3">
      <c r="A3" s="13" t="s">
        <v>22</v>
      </c>
      <c r="B3">
        <v>101</v>
      </c>
    </row>
    <row r="4" spans="1:3">
      <c r="A4" s="13" t="s">
        <v>26</v>
      </c>
      <c r="B4">
        <v>96</v>
      </c>
    </row>
    <row r="5" spans="1:3">
      <c r="A5" s="13" t="s">
        <v>18</v>
      </c>
      <c r="B5">
        <v>98</v>
      </c>
    </row>
    <row r="6" spans="1:3">
      <c r="A6" s="13" t="s">
        <v>314</v>
      </c>
      <c r="B6">
        <v>295</v>
      </c>
      <c r="C6">
        <v>295</v>
      </c>
    </row>
    <row r="8" spans="1:3">
      <c r="A8" t="s">
        <v>318</v>
      </c>
    </row>
    <row r="9" spans="1:3">
      <c r="A9" s="12" t="s">
        <v>313</v>
      </c>
      <c r="B9" t="s">
        <v>316</v>
      </c>
    </row>
    <row r="10" spans="1:3">
      <c r="A10" s="13" t="s">
        <v>22</v>
      </c>
      <c r="B10">
        <v>444</v>
      </c>
    </row>
    <row r="11" spans="1:3">
      <c r="A11" s="13" t="s">
        <v>26</v>
      </c>
      <c r="B11">
        <v>1801</v>
      </c>
    </row>
    <row r="12" spans="1:3">
      <c r="A12" s="13" t="s">
        <v>18</v>
      </c>
      <c r="B12">
        <v>5388</v>
      </c>
    </row>
    <row r="13" spans="1:3">
      <c r="A13" s="13" t="s">
        <v>314</v>
      </c>
      <c r="B13">
        <v>7633</v>
      </c>
      <c r="C13" s="16">
        <v>7633</v>
      </c>
    </row>
    <row r="15" spans="1:3">
      <c r="A15" t="s">
        <v>319</v>
      </c>
    </row>
    <row r="16" spans="1:3">
      <c r="A16" s="12" t="s">
        <v>313</v>
      </c>
      <c r="B16" t="s">
        <v>315</v>
      </c>
    </row>
    <row r="17" spans="1:3">
      <c r="A17" s="13" t="s">
        <v>23</v>
      </c>
      <c r="B17">
        <v>147</v>
      </c>
    </row>
    <row r="18" spans="1:3">
      <c r="A18" s="13" t="s">
        <v>19</v>
      </c>
      <c r="B18">
        <v>148</v>
      </c>
    </row>
    <row r="19" spans="1:3">
      <c r="A19" s="13" t="s">
        <v>314</v>
      </c>
      <c r="B19">
        <v>295</v>
      </c>
      <c r="C19" s="17">
        <f>COUNTIF(A16:B19,"Yes")/COUNTA(A16:B19)</f>
        <v>0.125</v>
      </c>
    </row>
    <row r="21" spans="1:3">
      <c r="A21" t="s">
        <v>320</v>
      </c>
    </row>
    <row r="22" spans="1:3">
      <c r="A22" s="12" t="s">
        <v>313</v>
      </c>
      <c r="B22" t="s">
        <v>315</v>
      </c>
    </row>
    <row r="23" spans="1:3">
      <c r="A23" s="13" t="s">
        <v>24</v>
      </c>
      <c r="B23">
        <v>71</v>
      </c>
    </row>
    <row r="24" spans="1:3">
      <c r="A24" s="13" t="s">
        <v>20</v>
      </c>
      <c r="B24">
        <v>139</v>
      </c>
    </row>
    <row r="25" spans="1:3">
      <c r="A25" s="13" t="s">
        <v>27</v>
      </c>
      <c r="B25">
        <v>85</v>
      </c>
    </row>
    <row r="26" spans="1:3">
      <c r="A26" s="13" t="s">
        <v>314</v>
      </c>
      <c r="B26">
        <v>295</v>
      </c>
      <c r="C26" s="15">
        <f>SUM(Bases!L2:L294)</f>
        <v>2106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5275-DEE4-4759-80C5-BBAFC31E3853}">
  <dimension ref="A1:S59"/>
  <sheetViews>
    <sheetView showGridLines="0" showRowColHeaders="0" tabSelected="1" zoomScale="70" zoomScaleNormal="70" workbookViewId="0">
      <selection activeCell="N38" sqref="N38"/>
    </sheetView>
  </sheetViews>
  <sheetFormatPr defaultRowHeight="14.25"/>
  <cols>
    <col min="1" max="19" width="12.625" customWidth="1"/>
  </cols>
  <sheetData>
    <row r="1" spans="1:19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4.2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6.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8"/>
      <c r="L36" s="14"/>
      <c r="M36" s="14"/>
      <c r="N36" s="14"/>
      <c r="O36" s="14"/>
      <c r="P36" s="14"/>
      <c r="Q36" s="14"/>
      <c r="R36" s="14"/>
      <c r="S36" s="14"/>
    </row>
    <row r="37" spans="1:19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8"/>
      <c r="O38" s="14"/>
      <c r="P38" s="14"/>
      <c r="Q38" s="14"/>
      <c r="R38" s="14"/>
      <c r="S38" s="14"/>
    </row>
    <row r="39" spans="1:1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  <row r="45" spans="1:19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  <row r="46" spans="1:19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</row>
    <row r="47" spans="1:19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spans="1:19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</row>
    <row r="49" spans="1:1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</row>
    <row r="50" spans="1:19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</row>
    <row r="51" spans="1:19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</row>
    <row r="52" spans="1:19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spans="1:19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spans="1:19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1:19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46BA74-F499-44DE-946A-636CB42271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Rafaela Sommer Gonçalves</cp:lastModifiedBy>
  <dcterms:created xsi:type="dcterms:W3CDTF">2024-12-19T13:13:10Z</dcterms:created>
  <dcterms:modified xsi:type="dcterms:W3CDTF">2026-10-23T15:31:35Z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